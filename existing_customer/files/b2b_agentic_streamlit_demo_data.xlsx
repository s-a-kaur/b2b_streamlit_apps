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bhilasha.anand\b2b_streamlit_apps\acquisition\Files\"/>
    </mc:Choice>
  </mc:AlternateContent>
  <xr:revisionPtr revIDLastSave="0" documentId="13_ncr:1_{96D2475F-095E-4C4F-ACA2-B701589A69C5}" xr6:coauthVersionLast="47" xr6:coauthVersionMax="47" xr10:uidLastSave="{00000000-0000-0000-0000-000000000000}"/>
  <bookViews>
    <workbookView xWindow="-108" yWindow="-108" windowWidth="23256" windowHeight="12456" tabRatio="701" xr2:uid="{F9668476-116F-4EE7-B02C-E81D09556175}"/>
  </bookViews>
  <sheets>
    <sheet name="Customer360" sheetId="10" r:id="rId1"/>
  </sheets>
  <definedNames>
    <definedName name="_xlnm._FilterDatabase" localSheetId="0" hidden="1">Customer360!$A$1:$DF$1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0" l="1"/>
  <c r="AP2" i="10"/>
  <c r="AJ2" i="10"/>
  <c r="X2" i="10"/>
</calcChain>
</file>

<file path=xl/sharedStrings.xml><?xml version="1.0" encoding="utf-8"?>
<sst xmlns="http://schemas.openxmlformats.org/spreadsheetml/2006/main" count="163" uniqueCount="156">
  <si>
    <t>unique_id</t>
  </si>
  <si>
    <t>company_name</t>
  </si>
  <si>
    <t>High</t>
  </si>
  <si>
    <t>Medium</t>
  </si>
  <si>
    <t>Official Domain</t>
  </si>
  <si>
    <t>Company Overview</t>
  </si>
  <si>
    <t>Other Locations</t>
  </si>
  <si>
    <t>Employee Range</t>
  </si>
  <si>
    <t>Company Industry</t>
  </si>
  <si>
    <t>Tech Install</t>
  </si>
  <si>
    <t>Headquarter Location</t>
  </si>
  <si>
    <t>Signal Details</t>
  </si>
  <si>
    <t>Signal Links</t>
  </si>
  <si>
    <t>Facebook URL</t>
  </si>
  <si>
    <t>Instagram URL</t>
  </si>
  <si>
    <t>Company Founding Year</t>
  </si>
  <si>
    <t>LinkedIn URL</t>
  </si>
  <si>
    <t>Company Board Line Number</t>
  </si>
  <si>
    <t>ACC001</t>
  </si>
  <si>
    <t>https://www.iron-built.com.au/</t>
  </si>
  <si>
    <t>Newcastle, NSW, Australia</t>
  </si>
  <si>
    <t>500-1000</t>
  </si>
  <si>
    <t>$100M – $250M</t>
  </si>
  <si>
    <t>Construction</t>
  </si>
  <si>
    <t>Sub Industry</t>
  </si>
  <si>
    <t>Infrastructure &amp; Civil Projects</t>
  </si>
  <si>
    <t>https://www.linkedin.com/company/ironbuild-infrastructure</t>
  </si>
  <si>
    <t>Tech_Maturity_Tier</t>
  </si>
  <si>
    <t>Tech_Maturity_Summary</t>
  </si>
  <si>
    <t>Telco_Tech_Relevance</t>
  </si>
  <si>
    <t>Telco_Tech_Relevance_Summary</t>
  </si>
  <si>
    <t>Competitor_Tech_Present</t>
  </si>
  <si>
    <t>Enterprise-grade networking and cloud stack supporting multi-site construction operations.</t>
  </si>
  <si>
    <t>With SD-WAN already deployed, the strongest upsell opportunities lie in Enterprise Ethernet for site resilience, network security uplift, and bandwidth / capacity upgrades to support expanding project locations.</t>
  </si>
  <si>
    <t>Cisco (Networking)</t>
  </si>
  <si>
    <t>Account_Onboarding_Date</t>
  </si>
  <si>
    <t>Internet_Primary_Contract_Start_Date</t>
  </si>
  <si>
    <t>Business Internet, SDWAN, Mobility</t>
  </si>
  <si>
    <t>Internet_Contract_Start_Date</t>
  </si>
  <si>
    <t>Internet_Contract_End_Date</t>
  </si>
  <si>
    <t>Internet_Bandwidth_GBbps</t>
  </si>
  <si>
    <t>Internet_Utilization_Pct</t>
  </si>
  <si>
    <t>Internet_TCV</t>
  </si>
  <si>
    <t>Enterprise_Ethernet_Primary_Contract_Start_Date</t>
  </si>
  <si>
    <t>Enterprise_Ethernet_Start_Date</t>
  </si>
  <si>
    <t>Enterprise_Ethernet_Contract_End_Date</t>
  </si>
  <si>
    <t>Enterprise_Ethernet_Bandwidth_Gbps</t>
  </si>
  <si>
    <t>Enterprise_Ethernet_TCV</t>
  </si>
  <si>
    <t>SDWAN_Primary_Contract_Start_Date</t>
  </si>
  <si>
    <t>SDWAN_Contract_Start_Date</t>
  </si>
  <si>
    <t>SDWAN_Contract_End_Date</t>
  </si>
  <si>
    <t>SDWAN_Sites_Deployed</t>
  </si>
  <si>
    <t>SDWAN_TCV</t>
  </si>
  <si>
    <t>Mobility_Primary_Contract_Start_Date</t>
  </si>
  <si>
    <t>200K</t>
  </si>
  <si>
    <t>150K</t>
  </si>
  <si>
    <t>Mobility_Contract_Start_Date</t>
  </si>
  <si>
    <t>Mobility_Contract_End_Date</t>
  </si>
  <si>
    <t>Mobility_Lines_Active</t>
  </si>
  <si>
    <t>Mobility_TCV</t>
  </si>
  <si>
    <t>Cloud_Primary_Contract_Start_Date</t>
  </si>
  <si>
    <t>Cloud_Contract_Start_Date</t>
  </si>
  <si>
    <t>Cloud_Contract_End_Date</t>
  </si>
  <si>
    <t>Cloud_Subscriptions</t>
  </si>
  <si>
    <t>Cloud_TCV</t>
  </si>
  <si>
    <t>IoT_Primary_Contract_Start_Date</t>
  </si>
  <si>
    <t>IoT_Contract_Start_Date</t>
  </si>
  <si>
    <t>IoT_Contract_End_Date</t>
  </si>
  <si>
    <t>IoT_Devices_Connected</t>
  </si>
  <si>
    <t>IoT_TCV</t>
  </si>
  <si>
    <t>UCaaS_Primary_Contract_Start_Date</t>
  </si>
  <si>
    <t>UCaaS_Contract_Start_Date</t>
  </si>
  <si>
    <t>UCaaS_Contract_End_Date</t>
  </si>
  <si>
    <t>UCaaS_Licenses</t>
  </si>
  <si>
    <t>UCaaS_TCV</t>
  </si>
  <si>
    <t>Security_Primary_Contract_Start_Date</t>
  </si>
  <si>
    <t>Security_Contract_Start_Date</t>
  </si>
  <si>
    <t>100K</t>
  </si>
  <si>
    <t>Security_Contract_End_Date</t>
  </si>
  <si>
    <t>Security_TCV</t>
  </si>
  <si>
    <t>Total_TCV</t>
  </si>
  <si>
    <t>TCV_2023</t>
  </si>
  <si>
    <t>TCV_2024</t>
  </si>
  <si>
    <t>TCV_Growth_3Yr_Pct</t>
  </si>
  <si>
    <t>Won_Opps_Last_3Yr</t>
  </si>
  <si>
    <t>Lost_Opps_Last_3Yr</t>
  </si>
  <si>
    <t>Open_Opps_Current</t>
  </si>
  <si>
    <t>Renewal_Due_Next_180Days</t>
  </si>
  <si>
    <t>450K</t>
  </si>
  <si>
    <t>Mobility</t>
  </si>
  <si>
    <t>Company_Annual_ICT_Spending_Bucket</t>
  </si>
  <si>
    <t>Company_Annual_Telco_Spending_Bucket</t>
  </si>
  <si>
    <t>Company_Annual_IT_Services_Spending_Bucket</t>
  </si>
  <si>
    <t>Spend_Potential_Tier</t>
  </si>
  <si>
    <t>Spend_Summary</t>
  </si>
  <si>
    <t>Very High</t>
  </si>
  <si>
    <t>Large infrastructure player with continuous site builds and heavy network reliance. Prime target for network expansion, managed services, and mobility scale-out.</t>
  </si>
  <si>
    <t>Intent_Domain_1</t>
  </si>
  <si>
    <t>Score_1</t>
  </si>
  <si>
    <t>Domain_1_Top_Keywords (Top 5)</t>
  </si>
  <si>
    <t>Intent_Domain_2</t>
  </si>
  <si>
    <t>Score_2</t>
  </si>
  <si>
    <t>Domain_2_Top_Keywords (Top 5)</t>
  </si>
  <si>
    <t>Intent_Domain_3</t>
  </si>
  <si>
    <t>Score_3</t>
  </si>
  <si>
    <t>Domain_3_Top_Keywords (Top 5)</t>
  </si>
  <si>
    <t>Competitor_Products_Searched</t>
  </si>
  <si>
    <t>Intent_Priority_Tier</t>
  </si>
  <si>
    <t>Intent_Summary</t>
  </si>
  <si>
    <t>Cisco, Optus</t>
  </si>
  <si>
    <t>Strong intent around modernising site connectivity and increasing bandwidth across construction projects. Behaviour suggests evaluation of alternative network architectures and carrier options beyond existing SD-WAN deployment. Emerging interest in network-level security solutions as site count and remote workforce access increases.</t>
  </si>
  <si>
    <t>Growth_Present</t>
  </si>
  <si>
    <t>YoY_Revenue_Growth_Pct</t>
  </si>
  <si>
    <t>Business_Expansion_Flag</t>
  </si>
  <si>
    <t>Acquisition_Merger_Flag</t>
  </si>
  <si>
    <t>Partnership_Alliance_Flag</t>
  </si>
  <si>
    <t>Hiring_Flag</t>
  </si>
  <si>
    <t>Layoff_Flag</t>
  </si>
  <si>
    <t>Financial_Risk_Flag</t>
  </si>
  <si>
    <t>Growth_Tier</t>
  </si>
  <si>
    <t>Yes</t>
  </si>
  <si>
    <t>12.40%</t>
  </si>
  <si>
    <t>1</t>
  </si>
  <si>
    <t>0</t>
  </si>
  <si>
    <t>Company_Annual_SW_Spending_Bucket</t>
  </si>
  <si>
    <t>Company_Annual_HW_Spending_Bucket</t>
  </si>
  <si>
    <t>$13.3M –$57.2M</t>
  </si>
  <si>
    <t>$800K – $1.5M</t>
  </si>
  <si>
    <t>$600K – $1.9M</t>
  </si>
  <si>
    <t>$1.7M – $8.2M</t>
  </si>
  <si>
    <t>$2.9M – $11.7M</t>
  </si>
  <si>
    <t>Internet_Renewal</t>
  </si>
  <si>
    <t>Mobility_Renewal</t>
  </si>
  <si>
    <t>SDWAN_Renewal</t>
  </si>
  <si>
    <t>IronBuild Infrastructure Pty Ltd is a large-scale construction and infrastructure services company delivering complex civil, commercial, and industrial projects across Australia. The company operates a distributed, site-heavy model with strong reliance on resilient network connectivity, mobility, and secure digital collaboration to support ongoing project execution and growth.</t>
  </si>
  <si>
    <t>02 8358 4170</t>
  </si>
  <si>
    <t>Sites in Australia</t>
  </si>
  <si>
    <t>Global Sites</t>
  </si>
  <si>
    <t>TCV_2025</t>
  </si>
  <si>
    <t>280K</t>
  </si>
  <si>
    <t>350K</t>
  </si>
  <si>
    <t>Company Revenue</t>
  </si>
  <si>
    <t>Sites</t>
  </si>
  <si>
    <t>share_of_wallet_pct</t>
  </si>
  <si>
    <t>contract_value_to_rev_pct</t>
  </si>
  <si>
    <t>IronBuild Infrastructure</t>
  </si>
  <si>
    <t>Active_Products</t>
  </si>
  <si>
    <t xml:space="preserve">• Networking &amp; Connectivity: Cisco Catalyst Switches, Cisco Firewalls, WAN routing• Cloud &amp; Infrastructure: AWS EC2, Azure Virtual Machines, backup &amp; recovery• IT Security: Fortinet Firewall, Rapid7 Vulnerability Management• Data &amp; Analytics: Microsoft Power BI• CRM / Enterprise Apps: Salesforce CRM, project management tools• ERP: SAP S/4HANA </t>
  </si>
  <si>
    <t>Network Infrastructure</t>
  </si>
  <si>
    <t>Bandwidth expansion, Ethernet networking, SD-WAN optimization</t>
  </si>
  <si>
    <t>IoT &amp; Asset Management</t>
  </si>
  <si>
    <t>Equipment monitoring systems, Heavy equipment fleet management, Construction IoT telemetry, Asset tracking systems, Fleet telematics</t>
  </si>
  <si>
    <t>AI &amp; Automation</t>
  </si>
  <si>
    <t>Construction AI solutions, Site safety automation, AI workforce scheduling, Computer vision construction</t>
  </si>
  <si>
    <t>• Business Expansion: Secured multiple multi-year civil infrastructure projects across NSW and QLD during FY24–FY25, increasing active construction sites with the equipment asset base scaling in line with site growth.• Partnerships: Formed regional delivery partnerships to accelerate large-scale project execution.• Hiring: Actively hiring across site operations.• Financials: Reported ~12% YoY revenue growth driven by sustained public infrastructure investment.• Digital Transformation: Announced enterprise-wide digital transformation initiative to modernize construction operations.</t>
  </si>
  <si>
    <t>https://www.australianconstructionnews.com.au/ironbuild-secures-major-nsw-infrastructure-projects, https://www.infrainsights.com.au/ironbuild-expands-partner-network, https://www.constructioncareers.com.au/ironbuild-ramps-up-site-hiring, https://www.afr.com.au/ironbuild-reports-strong-fy24-revenue-growth, https://www.infrastructuretechnews.com.au/ironbuild-launches-digital-transformation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</si>
</sst>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1" applyAlignment="1">
      <alignment horizontal="left" wrapText="1"/>
    </xf>
    <xf numFmtId="0" fontId="2" fillId="0" borderId="0" xfId="1" applyFill="1" applyBorder="1" applyAlignment="1">
      <alignment horizontal="left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99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inkedin.com/company/ironbuild-infrastructure" TargetMode="External"/><Relationship Id="rId1" Type="http://schemas.openxmlformats.org/officeDocument/2006/relationships/hyperlink" Target="https://www.iron-built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49E9-B7EE-4B49-A4E8-64E2E285BF73}">
  <sheetPr>
    <tabColor theme="9" tint="0.79998168889431442"/>
  </sheetPr>
  <dimension ref="A1:DF2"/>
  <sheetViews>
    <sheetView tabSelected="1" topLeftCell="DB1" zoomScale="110" zoomScaleNormal="110" workbookViewId="0">
      <pane ySplit="1" topLeftCell="A2" activePane="bottomLeft" state="frozen"/>
      <selection activeCell="K1" sqref="K1"/>
      <selection pane="bottomLeft" activeCell="DF2" sqref="DF2"/>
    </sheetView>
  </sheetViews>
  <sheetFormatPr defaultColWidth="23" defaultRowHeight="50.1" customHeight="1" x14ac:dyDescent="0.3"/>
  <cols>
    <col min="1" max="4" width="26.6640625" customWidth="1"/>
    <col min="5" max="5" width="26.6640625" style="2" customWidth="1"/>
    <col min="6" max="6" width="26.6640625" customWidth="1"/>
    <col min="7" max="7" width="26.6640625" style="2" customWidth="1"/>
    <col min="8" max="93" width="26.6640625" customWidth="1"/>
    <col min="94" max="99" width="26.6640625" style="3" customWidth="1"/>
    <col min="100" max="108" width="26.6640625" customWidth="1"/>
    <col min="109" max="109" width="26.6640625" style="1" customWidth="1"/>
    <col min="110" max="110" width="26.6640625" customWidth="1"/>
  </cols>
  <sheetData>
    <row r="1" spans="1:110" s="5" customFormat="1" ht="15" customHeight="1" x14ac:dyDescent="0.3">
      <c r="A1" s="4" t="s">
        <v>0</v>
      </c>
      <c r="B1" s="4" t="s">
        <v>1</v>
      </c>
      <c r="C1" s="4" t="s">
        <v>4</v>
      </c>
      <c r="D1" s="4" t="s">
        <v>5</v>
      </c>
      <c r="E1" s="4" t="s">
        <v>15</v>
      </c>
      <c r="F1" s="4" t="s">
        <v>10</v>
      </c>
      <c r="G1" s="4" t="s">
        <v>7</v>
      </c>
      <c r="H1" s="4" t="s">
        <v>141</v>
      </c>
      <c r="I1" s="4" t="s">
        <v>8</v>
      </c>
      <c r="J1" s="4" t="s">
        <v>24</v>
      </c>
      <c r="K1" s="4" t="s">
        <v>142</v>
      </c>
      <c r="L1" s="4" t="s">
        <v>136</v>
      </c>
      <c r="M1" s="4" t="s">
        <v>137</v>
      </c>
      <c r="N1" s="4" t="s">
        <v>6</v>
      </c>
      <c r="O1" s="4" t="s">
        <v>13</v>
      </c>
      <c r="P1" s="4" t="s">
        <v>16</v>
      </c>
      <c r="Q1" s="4" t="s">
        <v>14</v>
      </c>
      <c r="R1" s="4" t="s">
        <v>17</v>
      </c>
      <c r="S1" s="4" t="s">
        <v>35</v>
      </c>
      <c r="T1" s="4" t="s">
        <v>146</v>
      </c>
      <c r="U1" s="4" t="s">
        <v>36</v>
      </c>
      <c r="V1" s="4" t="s">
        <v>38</v>
      </c>
      <c r="W1" s="4" t="s">
        <v>39</v>
      </c>
      <c r="X1" s="4" t="s">
        <v>131</v>
      </c>
      <c r="Y1" s="4" t="s">
        <v>40</v>
      </c>
      <c r="Z1" s="4" t="s">
        <v>41</v>
      </c>
      <c r="AA1" s="4" t="s">
        <v>42</v>
      </c>
      <c r="AB1" s="4" t="s">
        <v>43</v>
      </c>
      <c r="AC1" s="4" t="s">
        <v>44</v>
      </c>
      <c r="AD1" s="4" t="s">
        <v>45</v>
      </c>
      <c r="AE1" s="4" t="s">
        <v>46</v>
      </c>
      <c r="AF1" s="4" t="s">
        <v>47</v>
      </c>
      <c r="AG1" s="4" t="s">
        <v>48</v>
      </c>
      <c r="AH1" s="4" t="s">
        <v>49</v>
      </c>
      <c r="AI1" s="4" t="s">
        <v>50</v>
      </c>
      <c r="AJ1" s="4" t="s">
        <v>133</v>
      </c>
      <c r="AK1" s="4" t="s">
        <v>51</v>
      </c>
      <c r="AL1" s="4" t="s">
        <v>52</v>
      </c>
      <c r="AM1" s="4" t="s">
        <v>53</v>
      </c>
      <c r="AN1" s="4" t="s">
        <v>56</v>
      </c>
      <c r="AO1" s="4" t="s">
        <v>57</v>
      </c>
      <c r="AP1" s="4" t="s">
        <v>132</v>
      </c>
      <c r="AQ1" s="4" t="s">
        <v>58</v>
      </c>
      <c r="AR1" s="4" t="s">
        <v>59</v>
      </c>
      <c r="AS1" s="4" t="s">
        <v>60</v>
      </c>
      <c r="AT1" s="4" t="s">
        <v>61</v>
      </c>
      <c r="AU1" s="4" t="s">
        <v>62</v>
      </c>
      <c r="AV1" s="4" t="s">
        <v>63</v>
      </c>
      <c r="AW1" s="4" t="s">
        <v>64</v>
      </c>
      <c r="AX1" s="4" t="s">
        <v>65</v>
      </c>
      <c r="AY1" s="4" t="s">
        <v>66</v>
      </c>
      <c r="AZ1" s="4" t="s">
        <v>67</v>
      </c>
      <c r="BA1" s="4" t="s">
        <v>68</v>
      </c>
      <c r="BB1" s="4" t="s">
        <v>69</v>
      </c>
      <c r="BC1" s="4" t="s">
        <v>70</v>
      </c>
      <c r="BD1" s="4" t="s">
        <v>71</v>
      </c>
      <c r="BE1" s="4" t="s">
        <v>72</v>
      </c>
      <c r="BF1" s="4" t="s">
        <v>73</v>
      </c>
      <c r="BG1" s="4" t="s">
        <v>74</v>
      </c>
      <c r="BH1" s="4" t="s">
        <v>75</v>
      </c>
      <c r="BI1" s="4" t="s">
        <v>76</v>
      </c>
      <c r="BJ1" s="4" t="s">
        <v>78</v>
      </c>
      <c r="BK1" s="4" t="s">
        <v>79</v>
      </c>
      <c r="BL1" s="4" t="s">
        <v>80</v>
      </c>
      <c r="BM1" s="4" t="s">
        <v>81</v>
      </c>
      <c r="BN1" s="4" t="s">
        <v>82</v>
      </c>
      <c r="BO1" s="4" t="s">
        <v>138</v>
      </c>
      <c r="BP1" s="4" t="s">
        <v>83</v>
      </c>
      <c r="BQ1" s="4" t="s">
        <v>84</v>
      </c>
      <c r="BR1" s="4" t="s">
        <v>85</v>
      </c>
      <c r="BS1" s="4" t="s">
        <v>143</v>
      </c>
      <c r="BT1" s="4" t="s">
        <v>144</v>
      </c>
      <c r="BU1" s="4" t="s">
        <v>86</v>
      </c>
      <c r="BV1" s="4" t="s">
        <v>87</v>
      </c>
      <c r="BW1" s="4" t="s">
        <v>90</v>
      </c>
      <c r="BX1" s="4" t="s">
        <v>125</v>
      </c>
      <c r="BY1" s="4" t="s">
        <v>124</v>
      </c>
      <c r="BZ1" s="4" t="s">
        <v>91</v>
      </c>
      <c r="CA1" s="4" t="s">
        <v>92</v>
      </c>
      <c r="CB1" s="4" t="s">
        <v>93</v>
      </c>
      <c r="CC1" s="4" t="s">
        <v>94</v>
      </c>
      <c r="CD1" s="4" t="s">
        <v>97</v>
      </c>
      <c r="CE1" s="4" t="s">
        <v>98</v>
      </c>
      <c r="CF1" s="4" t="s">
        <v>99</v>
      </c>
      <c r="CG1" s="4" t="s">
        <v>100</v>
      </c>
      <c r="CH1" s="4" t="s">
        <v>101</v>
      </c>
      <c r="CI1" s="4" t="s">
        <v>102</v>
      </c>
      <c r="CJ1" s="4" t="s">
        <v>103</v>
      </c>
      <c r="CK1" s="4" t="s">
        <v>104</v>
      </c>
      <c r="CL1" s="4" t="s">
        <v>105</v>
      </c>
      <c r="CM1" s="4" t="s">
        <v>106</v>
      </c>
      <c r="CN1" s="4" t="s">
        <v>107</v>
      </c>
      <c r="CO1" s="4" t="s">
        <v>108</v>
      </c>
      <c r="CP1" s="4" t="s">
        <v>9</v>
      </c>
      <c r="CQ1" s="16" t="s">
        <v>27</v>
      </c>
      <c r="CR1" s="16" t="s">
        <v>28</v>
      </c>
      <c r="CS1" s="16" t="s">
        <v>29</v>
      </c>
      <c r="CT1" s="16" t="s">
        <v>30</v>
      </c>
      <c r="CU1" s="16" t="s">
        <v>31</v>
      </c>
      <c r="CV1" s="4" t="s">
        <v>111</v>
      </c>
      <c r="CW1" s="4" t="s">
        <v>112</v>
      </c>
      <c r="CX1" s="4" t="s">
        <v>113</v>
      </c>
      <c r="CY1" s="4" t="s">
        <v>114</v>
      </c>
      <c r="CZ1" s="4" t="s">
        <v>115</v>
      </c>
      <c r="DA1" s="4" t="s">
        <v>116</v>
      </c>
      <c r="DB1" s="4" t="s">
        <v>117</v>
      </c>
      <c r="DC1" s="4" t="s">
        <v>118</v>
      </c>
      <c r="DD1" s="4" t="s">
        <v>119</v>
      </c>
      <c r="DE1" s="4" t="s">
        <v>11</v>
      </c>
      <c r="DF1" s="4" t="s">
        <v>12</v>
      </c>
    </row>
    <row r="2" spans="1:110" s="6" customFormat="1" ht="15" customHeight="1" x14ac:dyDescent="0.3">
      <c r="A2" s="6" t="s">
        <v>18</v>
      </c>
      <c r="B2" s="6" t="s">
        <v>145</v>
      </c>
      <c r="C2" s="7" t="s">
        <v>19</v>
      </c>
      <c r="D2" s="6" t="s">
        <v>134</v>
      </c>
      <c r="E2" s="6">
        <v>2008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25</v>
      </c>
      <c r="K2" s="6" t="str">
        <f>CONCATENATE(L2, " (Au), ", M2, " (Global)")</f>
        <v>8 (Au), 8 (Global)</v>
      </c>
      <c r="L2" s="6">
        <v>8</v>
      </c>
      <c r="M2" s="6">
        <v>8</v>
      </c>
      <c r="P2" s="8" t="s">
        <v>26</v>
      </c>
      <c r="R2" s="6" t="s">
        <v>135</v>
      </c>
      <c r="S2" s="9">
        <v>44531</v>
      </c>
      <c r="T2" s="10" t="s">
        <v>37</v>
      </c>
      <c r="U2" s="9">
        <v>42522</v>
      </c>
      <c r="V2" s="9">
        <v>44348</v>
      </c>
      <c r="W2" s="9">
        <v>46173</v>
      </c>
      <c r="X2" s="10">
        <f ca="1">IF(W2="", "",  DATEDIF(TODAY(), W2, "M") )</f>
        <v>3</v>
      </c>
      <c r="Y2" s="10">
        <v>500</v>
      </c>
      <c r="Z2" s="11">
        <v>0.85</v>
      </c>
      <c r="AA2" s="10" t="s">
        <v>54</v>
      </c>
      <c r="AB2" s="10"/>
      <c r="AC2" s="10"/>
      <c r="AD2" s="10"/>
      <c r="AE2" s="10"/>
      <c r="AF2" s="10"/>
      <c r="AG2" s="9">
        <v>42522</v>
      </c>
      <c r="AH2" s="9">
        <v>44972</v>
      </c>
      <c r="AI2" s="9">
        <v>46797</v>
      </c>
      <c r="AJ2" s="10">
        <f ca="1">IF(AI2="", "",  DATEDIF(TODAY(), AI2, "M") )</f>
        <v>23</v>
      </c>
      <c r="AK2" s="10">
        <v>6</v>
      </c>
      <c r="AL2" s="10" t="s">
        <v>55</v>
      </c>
      <c r="AM2" s="9">
        <v>43252</v>
      </c>
      <c r="AN2" s="9">
        <v>44713</v>
      </c>
      <c r="AO2" s="9">
        <v>46173</v>
      </c>
      <c r="AP2" s="10">
        <f ca="1">IF(AO2="", "",  DATEDIF(TODAY(), AO2, "M") )</f>
        <v>3</v>
      </c>
      <c r="AQ2" s="10">
        <v>180</v>
      </c>
      <c r="AR2" s="10" t="s">
        <v>77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 t="s">
        <v>88</v>
      </c>
      <c r="BM2" s="10" t="s">
        <v>139</v>
      </c>
      <c r="BN2" s="10" t="s">
        <v>140</v>
      </c>
      <c r="BO2" s="10" t="s">
        <v>88</v>
      </c>
      <c r="BP2" s="11">
        <v>0.61</v>
      </c>
      <c r="BQ2" s="10">
        <v>4</v>
      </c>
      <c r="BR2" s="10">
        <v>0</v>
      </c>
      <c r="BS2" s="12">
        <v>0.02</v>
      </c>
      <c r="BT2" s="13">
        <v>0.18</v>
      </c>
      <c r="BU2" s="10">
        <v>1</v>
      </c>
      <c r="BV2" s="10" t="s">
        <v>89</v>
      </c>
      <c r="BW2" s="10" t="s">
        <v>126</v>
      </c>
      <c r="BX2" s="10" t="s">
        <v>127</v>
      </c>
      <c r="BY2" s="10" t="s">
        <v>128</v>
      </c>
      <c r="BZ2" s="10" t="s">
        <v>129</v>
      </c>
      <c r="CA2" s="10" t="s">
        <v>130</v>
      </c>
      <c r="CB2" s="10" t="s">
        <v>95</v>
      </c>
      <c r="CC2" s="10" t="s">
        <v>96</v>
      </c>
      <c r="CD2" s="10" t="s">
        <v>148</v>
      </c>
      <c r="CE2" s="10">
        <v>85</v>
      </c>
      <c r="CF2" s="10" t="s">
        <v>149</v>
      </c>
      <c r="CG2" s="10" t="s">
        <v>150</v>
      </c>
      <c r="CH2" s="10">
        <v>72</v>
      </c>
      <c r="CI2" s="10" t="s">
        <v>151</v>
      </c>
      <c r="CJ2" s="10" t="s">
        <v>152</v>
      </c>
      <c r="CK2" s="10">
        <v>68</v>
      </c>
      <c r="CL2" s="10" t="s">
        <v>153</v>
      </c>
      <c r="CM2" s="10" t="s">
        <v>109</v>
      </c>
      <c r="CN2" s="10" t="s">
        <v>95</v>
      </c>
      <c r="CO2" s="10" t="s">
        <v>110</v>
      </c>
      <c r="CP2" s="6" t="s">
        <v>147</v>
      </c>
      <c r="CQ2" s="6" t="s">
        <v>2</v>
      </c>
      <c r="CR2" s="10" t="s">
        <v>32</v>
      </c>
      <c r="CS2" s="6" t="s">
        <v>3</v>
      </c>
      <c r="CT2" s="10" t="s">
        <v>33</v>
      </c>
      <c r="CU2" s="6" t="s">
        <v>34</v>
      </c>
      <c r="CV2" s="14" t="s">
        <v>120</v>
      </c>
      <c r="CW2" s="14" t="s">
        <v>121</v>
      </c>
      <c r="CX2" s="14" t="s">
        <v>122</v>
      </c>
      <c r="CY2" s="14" t="s">
        <v>123</v>
      </c>
      <c r="CZ2" s="14" t="s">
        <v>122</v>
      </c>
      <c r="DA2" s="14" t="s">
        <v>122</v>
      </c>
      <c r="DB2" s="14" t="s">
        <v>123</v>
      </c>
      <c r="DC2" s="14" t="s">
        <v>123</v>
      </c>
      <c r="DD2" s="14" t="s">
        <v>2</v>
      </c>
      <c r="DE2" s="15" t="s">
        <v>154</v>
      </c>
      <c r="DF2" s="15" t="s">
        <v>155</v>
      </c>
    </row>
  </sheetData>
  <autoFilter ref="A1:DF1" xr:uid="{308A49E9-B7EE-4B49-A4E8-64E2E285BF73}"/>
  <hyperlinks>
    <hyperlink ref="C2" r:id="rId1" xr:uid="{AA552692-DD00-4F37-A68B-A56DF1A4707E}"/>
    <hyperlink ref="P2" r:id="rId2" xr:uid="{9743A8A4-6F7B-4E60-9262-9E1DA704725E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1C5FD29499548A62E5B4303F7778B" ma:contentTypeVersion="10" ma:contentTypeDescription="Create a new document." ma:contentTypeScope="" ma:versionID="2df24be4d09ee0d3c8839701d8181322">
  <xsd:schema xmlns:xsd="http://www.w3.org/2001/XMLSchema" xmlns:xs="http://www.w3.org/2001/XMLSchema" xmlns:p="http://schemas.microsoft.com/office/2006/metadata/properties" xmlns:ns2="eab3b578-3216-4a71-8267-730785df7375" xmlns:ns3="fd1e19e0-8f42-4f29-a326-170bbc8871d8" targetNamespace="http://schemas.microsoft.com/office/2006/metadata/properties" ma:root="true" ma:fieldsID="917e588a6b315e63debb4385b3cbda2d" ns2:_="" ns3:_="">
    <xsd:import namespace="eab3b578-3216-4a71-8267-730785df7375"/>
    <xsd:import namespace="fd1e19e0-8f42-4f29-a326-170bbc8871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3b578-3216-4a71-8267-730785df7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e19e0-8f42-4f29-a326-170bbc8871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410aa6-ce5a-4cc8-8fd2-bec0e32140aa}" ma:internalName="TaxCatchAll" ma:showField="CatchAllData" ma:web="fd1e19e0-8f42-4f29-a326-170bbc8871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1e19e0-8f42-4f29-a326-170bbc8871d8" xsi:nil="true"/>
    <lcf76f155ced4ddcb4097134ff3c332f xmlns="eab3b578-3216-4a71-8267-730785df737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BF35AB-4AB2-4DBC-85C7-B848201C8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b3b578-3216-4a71-8267-730785df7375"/>
    <ds:schemaRef ds:uri="fd1e19e0-8f42-4f29-a326-170bbc887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625C74-CF0D-45EB-AC3B-71A20C9EC99E}">
  <ds:schemaRefs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fd1e19e0-8f42-4f29-a326-170bbc887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ab3b578-3216-4a71-8267-730785df737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5869243-C4F6-46ED-88B0-1BF06DA3375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Customer360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Rawal, Vrinda</dc:creator>
  <cp:keywords/>
  <dc:description/>
  <cp:lastModifiedBy>Anand, Abhilasha</cp:lastModifiedBy>
  <cp:revision/>
  <dcterms:created xsi:type="dcterms:W3CDTF">2025-11-11T07:43:53Z</dcterms:created>
  <dcterms:modified xsi:type="dcterms:W3CDTF">2026-02-23T04:28:51Z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0x0101009561C5FD29499548A62E5B4303F7778B</vt:lpwstr>
  </property>
  <property fmtid="{D5CDD505-2E9C-101B-9397-08002B2CF9AE}" pid="3" name="MediaServiceImageTags">
    <vt:lpwstr/>
  </property>
</Properties>
</file>