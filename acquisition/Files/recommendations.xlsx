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sumandeep.a.kaur\Documents\Demo-17Feb\Files\"/>
    </mc:Choice>
  </mc:AlternateContent>
  <xr:revisionPtr revIDLastSave="0" documentId="13_ncr:1_{C69E0166-F508-4F48-8612-DD50209BEA42}" xr6:coauthVersionLast="47" xr6:coauthVersionMax="47" xr10:uidLastSave="{00000000-0000-0000-0000-000000000000}"/>
  <bookViews>
    <workbookView xWindow="-120" yWindow="-120" windowWidth="29040" windowHeight="17520" xr2:uid="{00000000-000D-0000-FFFF-FFFF00000000}"/>
  </bookViews>
  <sheets>
    <sheet name="Recommendations" sheetId="1" r:id="rId1"/>
    <sheet name="nba_recommendations_20260212_18" sheetId="3" state="hidden" r:id="rId2"/>
  </sheets>
  <externalReferences>
    <externalReference r:id="rId3"/>
  </externalReferences>
  <definedNames>
    <definedName name="_xlnm._FilterDatabase" localSheetId="1" hidden="1">nba_recommendations_20260212_18!$A$1:$L$1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 i="1" l="1"/>
  <c r="E29" i="1"/>
  <c r="E28" i="1"/>
  <c r="E27" i="1"/>
  <c r="E26" i="1"/>
  <c r="E25" i="1"/>
  <c r="E24" i="1"/>
  <c r="E23" i="1"/>
  <c r="E22" i="1"/>
  <c r="E21" i="1"/>
  <c r="E20" i="1"/>
  <c r="E19" i="1"/>
  <c r="E18" i="1"/>
  <c r="E17" i="1"/>
  <c r="E16" i="1"/>
  <c r="E15" i="1"/>
  <c r="E14" i="1"/>
  <c r="E13" i="1"/>
  <c r="E12" i="1"/>
  <c r="E11" i="1"/>
  <c r="E10" i="1"/>
  <c r="E9" i="1"/>
  <c r="E8" i="1"/>
  <c r="E7" i="1"/>
  <c r="E6" i="1"/>
  <c r="E5" i="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2" i="3"/>
</calcChain>
</file>

<file path=xl/sharedStrings.xml><?xml version="1.0" encoding="utf-8"?>
<sst xmlns="http://schemas.openxmlformats.org/spreadsheetml/2006/main" count="557" uniqueCount="136">
  <si>
    <t>AI Product Recommendations — Up-sell &amp; Cross-sell Opportunities</t>
  </si>
  <si>
    <t>Personalised product recommendations ranked by fit score — 1 row per recommendation, grouped by account</t>
  </si>
  <si>
    <t>Account ID</t>
  </si>
  <si>
    <t>Account Name</t>
  </si>
  <si>
    <t>Industry</t>
  </si>
  <si>
    <t>Priority</t>
  </si>
  <si>
    <t>Recommendation #</t>
  </si>
  <si>
    <t>Product</t>
  </si>
  <si>
    <t>Fit Score</t>
  </si>
  <si>
    <t>Category</t>
  </si>
  <si>
    <t>Key Trigger</t>
  </si>
  <si>
    <t>Insight &amp; Rationale</t>
  </si>
  <si>
    <t>Construction</t>
  </si>
  <si>
    <t>High</t>
  </si>
  <si>
    <t>ACC002</t>
  </si>
  <si>
    <t>Medium</t>
  </si>
  <si>
    <t>ACC003</t>
  </si>
  <si>
    <t>ACC004</t>
  </si>
  <si>
    <t>ACC005</t>
  </si>
  <si>
    <t>Low</t>
  </si>
  <si>
    <t>ACC006</t>
  </si>
  <si>
    <t>Manufacturing</t>
  </si>
  <si>
    <t>ACC007</t>
  </si>
  <si>
    <t>ACC008</t>
  </si>
  <si>
    <t>ACC010</t>
  </si>
  <si>
    <t>FTE Size</t>
  </si>
  <si>
    <t>City / State</t>
  </si>
  <si>
    <t>ACC001</t>
  </si>
  <si>
    <t>ACC009</t>
  </si>
  <si>
    <t>Colocation</t>
  </si>
  <si>
    <t>On-Premise Edge</t>
  </si>
  <si>
    <t>AT&amp;T SASE</t>
  </si>
  <si>
    <t>AT&amp;T NetBond for Cloud</t>
  </si>
  <si>
    <t>AT&amp;T NetBond For Cloud</t>
  </si>
  <si>
    <t>AT&amp;T Business Fiber®</t>
  </si>
  <si>
    <t>AT&amp;T On-Premise Edge</t>
  </si>
  <si>
    <t>AT&amp;T On-Premises Cellular Network</t>
  </si>
  <si>
    <t>AT&amp;T Cloud Voice with Microsoft Teams</t>
  </si>
  <si>
    <t>IoT Platforms</t>
  </si>
  <si>
    <t>Business SIP Trunking</t>
  </si>
  <si>
    <t>500+</t>
  </si>
  <si>
    <t>Information Technology</t>
  </si>
  <si>
    <t>Cloud Connectivity</t>
  </si>
  <si>
    <t>AT&amp;T 5G</t>
  </si>
  <si>
    <t>Cybersecurity Services</t>
  </si>
  <si>
    <t>150 - 300</t>
  </si>
  <si>
    <t>Business Internet</t>
  </si>
  <si>
    <t>Internet Of Things</t>
  </si>
  <si>
    <t>Retail</t>
  </si>
  <si>
    <t>50 - 150</t>
  </si>
  <si>
    <t>Finance and Insurance</t>
  </si>
  <si>
    <t>Voice And Collaboration</t>
  </si>
  <si>
    <t>Less than 50</t>
  </si>
  <si>
    <t>300 - 500</t>
  </si>
  <si>
    <t>Voice and Collaboration</t>
  </si>
  <si>
    <t>Professional, Scientific, and Technical Services</t>
  </si>
  <si>
    <t>AvePoint</t>
  </si>
  <si>
    <t>AvePoint's multi-site operations and above-average intent for security solutions indicate a strong need for advanced network and identity management. AT&amp;T SASE integrates SD-WAN and security into a single platform, addressing these needs while supporting their cloud-ready infrastructure. This solution enhances security and operational efficiency, aligning with their business continuity and remote work priorities.</t>
  </si>
  <si>
    <t>AvePoint's high telco spend and multi-site operations suggest a need for enhanced fiber connectivity. AT&amp;T Colocation Data Center Services provide scalable, high-speed connectivity, ensuring business continuity and supporting bandwidth-intensive operations. This aligns with their intent to optimize connectivity and reduce costs.</t>
  </si>
  <si>
    <t>AvePoint's high cloud and SaaS tool usage indicates a need for optimized collaboration solutions. AT&amp;T Cloud Voice with Microsoft Teams integrates seamlessly with SaaS tools, enhancing operational efficiency and supporting mobility and business continuity. This solution aligns with their cloud-ready infrastructure and collaboration priorities.</t>
  </si>
  <si>
    <t>BAYSTAR</t>
  </si>
  <si>
    <t>At&amp;T 5G</t>
  </si>
  <si>
    <t>At&amp;T On-Premise Edge</t>
  </si>
  <si>
    <t>Baystar's strong intent for wireless connectivity and multi-site operations make AT&amp;T On-Premise Edge a highly suitable solution. The product's mobility and bandwidth-intensive features align with their manufacturing needs across two sites, enabling advanced wireless control and compute capabilities. While financial health data is sparse, the clear signals in spending and intent support this recommendation.</t>
  </si>
  <si>
    <t>At&amp;T Sase</t>
  </si>
  <si>
    <t>AT&amp;T SASE addresses Baystar's potential security gaps with integrated network security and SD-WAN capabilities. Its cost-optimized and multi-site features align with their ICT spend profile and operational structure. However, limited data on security priorities reduces confidence slightly, though the product fit remains strong due to inferred needs.</t>
  </si>
  <si>
    <t>Iot Platforms</t>
  </si>
  <si>
    <t>AT&amp;T IoT Platforms support Baystar's growth signals, such as new product launches and expansion initiatives, by providing scalable IoT solutions. The product's mobility and cost-optimized features align with their manufacturing needs. However, gaps in financial health and cloud readiness data slightly limit confidence in their ability to fully leverage this solution.</t>
  </si>
  <si>
    <t>BCI Brands</t>
  </si>
  <si>
    <t>BCI Brands has strong intent signals for connectivity and broadband internet, and AT&amp;T Business Fiber® provides fast, reliable, and secure fiber connectivity to support their growing retail operations. This product addresses their need for enhanced network performance and scalability, which is critical given their recent acquisitions and operational expansion. While financial health data is sparse, the strong connectivity intent and growth signals justify this recommendation.</t>
  </si>
  <si>
    <t>BCI Brands shows high intent for cloud services, and AT&amp;T NetBond for Cloud offers a secure and scalable private connection to cloud environments. This aligns with their need for IT solutions to support digital transformation and manage operational complexity from recent acquisitions. However, the lack of detailed IT infrastructure data introduces some uncertainty about their readiness for cloud adoption.</t>
  </si>
  <si>
    <t>Although BCI Brands has weak security intent signals, their recent growth and acquisitions suggest a potential need for enhanced security solutions. AT&amp;T SASE integrates network security and SD-WAN, providing a proactive approach to protect their expanding operations. The limited data on their security posture reduces confidence, but the product's alignment with their operational complexity and mobility needs makes it a reasonable recommendation.</t>
  </si>
  <si>
    <t>Bisig Impact Group</t>
  </si>
  <si>
    <t>The account shows high intent for cloud services but lacks cloud adoption in its tech stack, indicating a need for secure and scalable cloud integration. AT&amp;T NetBond for Cloud addresses this by providing a private connection to cloud environments, enhancing performance and security. This solution is well-suited to support the account's cloud adoption goals despite uncertainties in growth signals and financial health data.</t>
  </si>
  <si>
    <t>The account demonstrates average intent for fiber connectivity and lacks wireline infrastructure, suggesting a need for reliable and secure internet solutions. AT&amp;T Business Fiber provides fast and cost-optimized connectivity, supporting critical operations and positioning the business for future growth. However, the lack of growth signals introduces some uncertainty about the account's readiness for infrastructure upgrades.</t>
  </si>
  <si>
    <t>The account has average intent for network security and lacks security tools in its tech stack, indicating a need for enhanced protection. AT&amp;T SASE integrates network security and SD-WAN, addressing these gaps while optimizing performance. However, the absence of financial health data limits confidence in the account's ability to invest in advanced security solutions.</t>
  </si>
  <si>
    <t>Mobile 5G</t>
  </si>
  <si>
    <t>Cloud Connections On-Demand</t>
  </si>
  <si>
    <t>CookUnity</t>
  </si>
  <si>
    <t>CookUnity's rapid growth requires scalable and secure infrastructure to support operations. AT&amp;T NetBond for Cloud provides a private connection to cloud environments, ensuring predictable performance and security as the company scales. While growth signals are strong, limited data on specific connectivity challenges reduces confidence slightly.</t>
  </si>
  <si>
    <t>CookUnity's operations across local and global sites benefit from simplified multi-cloud connectivity. Cloud Connections On-Demand addresses potential connectivity challenges with secure and scalable solutions. Sparse data on specific connectivity requirements limits confidence in fully assessing the fit.</t>
  </si>
  <si>
    <t>CookUnity's need for reliable and secure connectivity across sites aligns with AT&amp;T On-Premises Cellular Network, which offers high-speed, low-latency 5G/LTE connectivity. However, limited evidence on security posture and global connectivity requirements reduces confidence slightly.</t>
  </si>
  <si>
    <t>Flynn Construction Inc.</t>
  </si>
  <si>
    <t>Flynn Construction's moderate tech stack signals and inferred need for modernization suggest a strong fit for AT&amp;T NetBond for Cloud. This product provides secure and scalable private cloud connectivity, addressing their lack of cloud adoption and enabling operational modernization. While growth signals are weak, the security and cloud-ready features align well with their inferred needs for reliable tech solutions.</t>
  </si>
  <si>
    <t>Flynn Construction's inferred need for improved connectivity aligns with AT&amp;T Mobile 5G, which offers high-speed wireless connectivity suitable for on-site operations. Mobility and bandwidth-intensive capabilities are particularly relevant for a construction business. However, the lack of growth and financial health signals limits confidence in their ability to adopt advanced solutions.</t>
  </si>
  <si>
    <t>Flynn Construction's need for modern tech solutions and cloud adoption is addressed by Cloud Connections On-Demand, which simplifies multi-cloud connectivity with secure and scalable features. While the product fit is solid, confidence is limited due to sparse financial health data and weak intent signals, which create uncertainty around their readiness for cloud adoption.</t>
  </si>
  <si>
    <t>Moderna</t>
  </si>
  <si>
    <t>Moderna's expansion of manufacturing and R&amp;D capabilities requires scalable and secure infrastructure. AT&amp;T Colocation Data Center Services address this need by providing high availability, cost optimization, and robust security for critical operations. This aligns with Moderna's multi-site operations and bandwidth-intensive requirements, ensuring business continuity and operational efficiency.</t>
  </si>
  <si>
    <t>Moderna's growth and global operations necessitate a secure and scalable technology infrastructure. AT&amp;T SASE integrates network security and SD-WAN, addressing the need for business continuity and secure remote work. While intent signals are sparse, the solution's alignment with Moderna's security and cloud readiness needs supports its relevance.</t>
  </si>
  <si>
    <t>Moderna's global operations benefit from enhanced connectivity solutions. AT&amp;T IoT Platforms enable seamless connectivity and management across international sites, improving collaboration and operational efficiency. However, limited visibility into specific IoT adoption plans introduces some uncertainty, which tempers confidence slightly.</t>
  </si>
  <si>
    <t>SolomonEdwards</t>
  </si>
  <si>
    <t>SolomonEdwards' growth and multi-site operations require scalable and secure infrastructure, which AT&amp;T Colocation services provide. The product's cloud-ready and multi-site capabilities align with their need for robust connectivity across six sites, supporting business continuity and future expansion. However, limited financial health data introduces some uncertainty about their ability to invest in such solutions.</t>
  </si>
  <si>
    <t>As SolomonEdwards expands and integrates new entities, AT&amp;T SASE addresses potential security gaps with its integrated network security and SD-WAN capabilities. Its multi-site and security-focused features ensure a strong security posture across their operations. However, sparse data on their current security infrastructure and financial health slightly reduces confidence.</t>
  </si>
  <si>
    <t>AT&amp;T Business SIP Trunking consolidates voice and data services, providing a cost-optimized and scalable solution for SolomonEdwards' growing communication needs across multiple sites. Its multi-site and cloud-ready capabilities align with their operational requirements, though limited data on their current connectivity infrastructure introduces some uncertainty.</t>
  </si>
  <si>
    <t>Suncoast Credit Union</t>
  </si>
  <si>
    <t>Suncoast Credit Union demonstrates a strong focus on enhancing security infrastructure, as evidenced by high intent for network and identity protection. AT&amp;T SASE integrates network security and SD-WAN into a single cloud-based platform, addressing these needs while supporting multi-site operations and cost optimization. This solution is expected to improve security posture and operational efficiency across the organization. While financial health data is sparse, the alignment of security and cloud-ready features with the account's priorities supports a high fit.</t>
  </si>
  <si>
    <t>The account's high intent for cloud services and optimization aligns with AT&amp;T Colocation Data Center Services, which supports hybrid multi-cloud environments. This product's cloud-ready and cost-optimized features address the need for scalable and efficient cloud infrastructure. While growth signals are sparse, the strong alignment with cloud adoption priorities and multi-site operations justifies a solid recommendation.</t>
  </si>
  <si>
    <t>AT&amp;T Business SIP Trunking consolidates voice and data services, addressing the account's need for improved connectivity and operational efficiency. Its multi-site and bandwidth-intensive features align with the account's telco spend and connectivity requirements. However, the lack of financial health and growth data introduces some uncertainty about budget flexibility, slightly tempering confidence.</t>
  </si>
  <si>
    <t>Vuteq USA, Inc.</t>
  </si>
  <si>
    <t>Vuteq USA, Inc. demonstrates strong intent for managed services and IT infrastructure optimization, as indicated by their multi-site operations and need for cost-optimized solutions. AT&amp;T Colocation services provide secure, scalable, and cost-effective IT infrastructure management, addressing these needs effectively. While growth signals are sparse, the account's operational complexity supports this recommendation.</t>
  </si>
  <si>
    <t>The account shows above-average intent for wireless solutions and lacks wireless technology in their stack, making AT&amp;T On-Premise Edge a strong fit. This product enhances wireless connectivity and supports multi-site operations, addressing mobility and bandwidth-intensive needs. However, limited financial health data introduces uncertainty about budget flexibility for adoption.</t>
  </si>
  <si>
    <t>AT&amp;T SASE addresses the account's low security posture and multi-site needs by integrating network security and SD-WAN into a single platform. While security intent is below average, this solution proactively fills a critical gap in their infrastructure, ensuring business continuity and improved security. Sparse growth signals limit confidence in broader adoption potential.</t>
  </si>
  <si>
    <t>&lt;ul&gt;&lt;li&gt;&lt;strong&gt;Infrastructure scaling requires centralized high-performance connectivity.&lt;/strong&gt;&lt;/li&gt;&lt;li&gt;Explicit bandwidth expansion intent&lt;/li&gt;&lt;li&gt;Distributed site architecture&lt;/li&gt;&lt;li&gt;Expansion and hiring indicate network growth&lt;/li&gt;&lt;/ul&gt;</t>
  </si>
  <si>
    <t>&lt;ul&gt;&lt;li&gt;&lt;strong&gt;Cloud-native collaboration environment supports voice consolidation.&lt;/strong&gt;&lt;/li&gt;&lt;li&gt;Cloud-first SaaS stack&lt;/li&gt;&lt;li&gt;Growing remote workforce enablement&lt;/li&gt;&lt;li&gt;Enterprise collaboration maturity&lt;/li&gt;&lt;/ul&gt;</t>
  </si>
  <si>
    <t>&lt;ul&gt;&lt;li&gt;&lt;strong&gt;Strong cloud and security intent signals immediate modernization readiness.&lt;/strong&gt;&lt;/li&gt;&lt;li&gt;Active cloud migration signals&lt;/li&gt;&lt;li&gt;High security alignment&lt;/li&gt;&lt;li&gt;Enterprise financial infrastructure&lt;/li&gt;&lt;/ul&gt;</t>
  </si>
  <si>
    <t>&lt;ul&gt;&lt;li&gt;&lt;strong&gt;Hybrid cloud adoption supports resilient connectivity expansion.&lt;/strong&gt;&lt;/li&gt;&lt;li&gt;Cloud optimisation focus&lt;/li&gt;&lt;li&gt;Multi-site continuity needs&lt;/li&gt;&lt;li&gt;High spend tier alignment&lt;/li&gt;&lt;/ul&gt;</t>
  </si>
  <si>
    <t>&lt;ul&gt;&lt;li&gt;&lt;strong&gt;Voice consolidation enhances operational efficiency and resilience.&lt;/strong&gt;&lt;/li&gt;&lt;li&gt;Business continuity priority&lt;/li&gt;&lt;li&gt;Secure communication requirements&lt;/li&gt;&lt;li&gt;Enterprise collaboration maturity&lt;/li&gt;&lt;/ul&gt;</t>
  </si>
  <si>
    <t>&lt;ul&gt;&lt;li&gt;&lt;strong&gt;Acquisition-led growth increases infrastructure coordination needs.&lt;/strong&gt;&lt;/li&gt;&lt;li&gt;3 recent acquisitions&lt;/li&gt;&lt;li&gt;Multi-site professional services footprint&lt;/li&gt;&lt;li&gt;Expansion-driven scaling&lt;/li&gt;&lt;/ul&gt;</t>
  </si>
  <si>
    <t>&lt;ul&gt;&lt;li&gt;&lt;strong&gt;Security integration supports post-acquisition risk management.&lt;/strong&gt;&lt;/li&gt;&lt;li&gt;Organisational expansion complexity&lt;/li&gt;&lt;li&gt;Cloud services adoption&lt;/li&gt;&lt;li&gt;Operational integration requirements&lt;/li&gt;&lt;/ul&gt;</t>
  </si>
  <si>
    <t>&lt;ul&gt;&lt;li&gt;&lt;strong&gt;Structured communications strengthen distributed service delivery.&lt;/strong&gt;&lt;/li&gt;&lt;li&gt;Multi-location operations&lt;/li&gt;&lt;li&gt;Growth-driven workforce enablement&lt;/li&gt;&lt;li&gt;Service continuity requirements&lt;/li&gt;&lt;/ul&gt;</t>
  </si>
  <si>
    <t>&lt;ul&gt;&lt;li&gt;&lt;strong&gt;Strong wireless intent supports private connectivity deployment.&lt;/strong&gt;&lt;/li&gt;&lt;li&gt;High wireless connectivity signals&lt;/li&gt;&lt;li&gt;Industrial multi-site environment&lt;/li&gt;&lt;li&gt;Very High ICT spend tier&lt;/li&gt;&lt;/ul&gt;</t>
  </si>
  <si>
    <t>&lt;ul&gt;&lt;li&gt;&lt;strong&gt;Network security modernization aligns with industrial expansion.&lt;/strong&gt;&lt;/li&gt;&lt;li&gt;Expansion and partnership signals&lt;/li&gt;&lt;li&gt;Enterprise ERP environment&lt;/li&gt;&lt;li&gt;Operational risk mitigation&lt;/li&gt;&lt;/ul&gt;</t>
  </si>
  <si>
    <t>&lt;ul&gt;&lt;li&gt;&lt;strong&gt;IoT enablement improves operational monitoring and control.&lt;/strong&gt;&lt;/li&gt;&lt;li&gt;Manufacturing device integration&lt;/li&gt;&lt;li&gt;Industrial scalability needs&lt;/li&gt;&lt;li&gt;Connected infrastructure opportunity&lt;/li&gt;&lt;/ul&gt;</t>
  </si>
  <si>
    <t>&lt;ul&gt;&lt;li&gt;&lt;strong&gt;Rapid growth and funding support scalable cloud infrastructure.&lt;/strong&gt;&lt;/li&gt;&lt;li&gt;$250M funding round&lt;/li&gt;&lt;li&gt;Multi-site global footprint&lt;/li&gt;&lt;li&gt;Operational scaling requirements&lt;/li&gt;&lt;/ul&gt;</t>
  </si>
  <si>
    <t>&lt;ul&gt;&lt;li&gt;&lt;strong&gt;Multi-cloud connectivity strengthens distributed operations.&lt;/strong&gt;&lt;/li&gt;&lt;li&gt;Global kitchen network&lt;/li&gt;&lt;li&gt;Cloud adoption trajectory&lt;/li&gt;&lt;li&gt;Bandwidth optimisation needs&lt;/li&gt;&lt;/ul&gt;</t>
  </si>
  <si>
    <t>&lt;ul&gt;&lt;li&gt;&lt;strong&gt;Private wireless enhances site-level performance and control.&lt;/strong&gt;&lt;/li&gt;&lt;li&gt;Multi-site operations&lt;/li&gt;&lt;li&gt;Device density management&lt;/li&gt;&lt;li&gt;Growth-driven bandwidth pressure&lt;/li&gt;&lt;/ul&gt;</t>
  </si>
  <si>
    <t>&lt;ul&gt;&lt;li&gt;&lt;strong&gt;Retail footprint expansion supports high-performance fiber deployment.&lt;/strong&gt;&lt;/li&gt;&lt;li&gt;Strong connectivity intent&lt;/li&gt;&lt;li&gt;Retail operational scaling&lt;/li&gt;&lt;li&gt;Acquisition-driven complexity&lt;/li&gt;&lt;/ul&gt;</t>
  </si>
  <si>
    <t>&lt;ul&gt;&lt;li&gt;&lt;strong&gt;Private cloud connectivity strengthens digital transformation initiatives.&lt;/strong&gt;&lt;/li&gt;&lt;li&gt;Cloud optimisation signals&lt;/li&gt;&lt;li&gt;Retail IT consolidation&lt;/li&gt;&lt;li&gt;Operational efficiency focus&lt;/li&gt;&lt;/ul&gt;</t>
  </si>
  <si>
    <t>&lt;ul&gt;&lt;li&gt;&lt;strong&gt;Security consolidation supports multi-brand operational complexity.&lt;/strong&gt;&lt;/li&gt;&lt;li&gt;Acquisition integration&lt;/li&gt;&lt;li&gt;Enterprise retail environment&lt;/li&gt;&lt;li&gt;Security modernization opportunity&lt;/li&gt;&lt;/ul&gt;</t>
  </si>
  <si>
    <t>&lt;ul&gt;&lt;li&gt;&lt;strong&gt;Cloud modernization supports project-based infrastructure needs.&lt;/strong&gt;&lt;/li&gt;&lt;li&gt;Construction site operations&lt;/li&gt;&lt;li&gt;Connectivity modernization opportunity&lt;/li&gt;&lt;li&gt;Scalable cloud alignment&lt;/li&gt;&lt;/ul&gt;</t>
  </si>
  <si>
    <t>&lt;ul&gt;&lt;li&gt;&lt;strong&gt;5G enhances on-site mobility and performance.&lt;/strong&gt;&lt;/li&gt;&lt;li&gt;Field workforce mobility&lt;/li&gt;&lt;li&gt;Site-based bandwidth needs&lt;/li&gt;&lt;li&gt;Project-triggered demand&lt;/li&gt;&lt;/ul&gt;</t>
  </si>
  <si>
    <t>SASE</t>
  </si>
  <si>
    <t>Cloud Voice with Microsoft Teams</t>
  </si>
  <si>
    <t>Sase</t>
  </si>
  <si>
    <t>NetBond for Cloud</t>
  </si>
  <si>
    <t>On-Premises Cellular Network</t>
  </si>
  <si>
    <t>Business Fiber®</t>
  </si>
  <si>
    <t>NetBond For Cloud</t>
  </si>
  <si>
    <t>5G</t>
  </si>
  <si>
    <t>&lt;ul&gt;
  &lt;li&gt;&lt;strong&gt;Enterprise security modernization opportunity aligned to strong network intent and multi-site footprint.&lt;/strong&gt;&lt;/li&gt;
  &lt;li&gt;Multi-site operations (3 local + 3 global sites)&lt;/li&gt;
  &lt;li&gt;Strong security and SD-WAN optimisation signals&lt;/li&gt;
  &lt;li&gt;Very High enterprise spend tier&lt;/li&gt;
&lt;/ul&gt;</t>
  </si>
  <si>
    <t>&lt;ul&gt;
  &lt;li&gt;&lt;strong&gt;Capital-rich enterprise with expansion momentum supports resilient infrastructure investment.&lt;/strong&gt;&lt;/li&gt;
  &lt;li&gt;$1.5B funding round and active expansion&lt;/li&gt;
  &lt;li&gt;Global R&amp;D and manufacturing footprint&lt;/li&gt;
  &lt;li&gt;Layoff signal suggests prioritizing foundational infrastructure over discretionary spend&lt;/li&gt;
&lt;/ul&gt;</t>
  </si>
  <si>
    <t>&lt;ul&gt;
  &lt;li&gt;&lt;strong&gt;No explicit intent detected; security modernization recommended as baseline risk mitigation.&lt;/strong&gt;&lt;/li&gt;
  &lt;li&gt;Compliance-driven biotech environment&lt;/li&gt;
  &lt;li&gt;Global operational complexity increases cyber exposure&lt;/li&gt;
  &lt;li&gt;Layoff activity implies budget scrutiny → focus on integrated security platform&lt;/li&gt;
&lt;/ul&gt;</t>
  </si>
  <si>
    <t>&lt;ul&gt;
  &lt;li&gt;&lt;strong&gt;Light cloud interest suggests early-stage modernization opportunity.&lt;/strong&gt;&lt;/li&gt;
  &lt;li&gt;Basic cloud adoption signals present&lt;/li&gt;
  &lt;li&gt;Professional services delivery model&lt;/li&gt;
  &lt;li&gt;Low complexity environment supports targeted upgrade&lt;/li&gt;
&lt;/ul&gt;</t>
  </si>
  <si>
    <t>&lt;ul&gt;
  &lt;li&gt;&lt;strong&gt;Reliable connectivity supports client service delivery.&lt;/strong&gt;&lt;/li&gt;
  &lt;li&gt;Limited existing infrastructure&lt;/li&gt;
  &lt;li&gt;Small footprint (single site)&lt;/li&gt;
  &lt;li&gt;Low spend tier indicates focused connectivity solution&lt;/li&gt;
&lt;/ul&gt;</t>
  </si>
  <si>
    <t>&lt;ul&gt;
  &lt;li&gt;&lt;strong&gt;Operational complexity supports centralized infrastructure optimization.&lt;/strong&gt;&lt;/li&gt;
  &lt;li&gt;Multi-site manufacturing operations&lt;/li&gt;
  &lt;li&gt;Cloud and connectivity intent present&lt;/li&gt;
  &lt;li&gt;Low growth signals suggest infrastructure consolidation over expansion&lt;/li&gt;
&lt;/ul&gt;</t>
  </si>
  <si>
    <t>&lt;ul&gt;
  &lt;li&gt;&lt;strong&gt;Wireless enablement supports industrial site mobility.&lt;/strong&gt;&lt;/li&gt;
  &lt;li&gt;Above-average wireless connectivity signals&lt;/li&gt;
  &lt;li&gt;Manufacturing floor device enablement&lt;/li&gt;
  &lt;li&gt;Low priority tier suggests phased deployment approach&lt;/li&gt;
&lt;/ul&gt;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</si>
</sst>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8"/>
      <color rgb="FF6B00B8"/>
      <name val="Arial"/>
      <family val="2"/>
    </font>
    <font>
      <sz val="10"/>
      <color rgb="FF6B7280"/>
      <name val="Arial"/>
      <family val="2"/>
    </font>
    <font>
      <b/>
      <sz val="10"/>
      <color rgb="FFFFFFFF"/>
      <name val="Arial"/>
      <family val="2"/>
    </font>
    <font>
      <sz val="9"/>
      <color rgb="FF1F2937"/>
      <name val="Arial"/>
      <family val="2"/>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rgb="FF6B00B8"/>
      </patternFill>
    </fill>
    <fill>
      <patternFill patternType="solid">
        <fgColor rgb="FFFAFAFA"/>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9">
    <xf numFmtId="0" fontId="0" fillId="0" borderId="0" xfId="0"/>
    <xf numFmtId="0" fontId="4" fillId="3" borderId="1" xfId="0" applyFont="1" applyFill="1" applyBorder="1" applyAlignment="1">
      <alignment vertical="center" wrapText="1"/>
    </xf>
    <xf numFmtId="0" fontId="1" fillId="0" borderId="0" xfId="0" applyFont="1"/>
    <xf numFmtId="0" fontId="0" fillId="0" borderId="0" xfId="0"/>
    <xf numFmtId="0" fontId="2" fillId="0" borderId="0" xfId="0" applyFont="1"/>
    <xf numFmtId="0" fontId="3" fillId="2" borderId="1" xfId="0" applyFont="1" applyFill="1" applyBorder="1" applyAlignment="1">
      <alignment horizontal="center" vertical="top" wrapText="1"/>
    </xf>
    <xf numFmtId="0" fontId="4" fillId="3" borderId="1" xfId="0" applyFont="1" applyFill="1" applyBorder="1" applyAlignment="1">
      <alignment vertical="top" wrapText="1"/>
    </xf>
    <xf numFmtId="0" fontId="5"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umandeep.a.kaur\Documents\Demo-17Feb\Files\account_summary.xlsx" TargetMode="External"/><Relationship Id="rId1" Type="http://schemas.openxmlformats.org/officeDocument/2006/relationships/externalLinkPath" Target="account_summa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ccount Overview"/>
      <sheetName val="Products &amp; Intent"/>
      <sheetName val="Complete"/>
      <sheetName val="Customer360"/>
    </sheetNames>
    <sheetDataSet>
      <sheetData sheetId="0"/>
      <sheetData sheetId="1"/>
      <sheetData sheetId="2">
        <row r="2">
          <cell r="B2" t="str">
            <v>AvePoint</v>
          </cell>
          <cell r="C2" t="str">
            <v>Jersey City, NJ</v>
          </cell>
        </row>
        <row r="3">
          <cell r="B3" t="str">
            <v>Moderna</v>
          </cell>
          <cell r="C3" t="str">
            <v>Cambridge, MA</v>
          </cell>
        </row>
        <row r="4">
          <cell r="B4" t="str">
            <v>Suncoast Credit Union</v>
          </cell>
          <cell r="C4" t="str">
            <v>Tampa, FL</v>
          </cell>
        </row>
        <row r="5">
          <cell r="B5" t="str">
            <v>SolomonEdwards</v>
          </cell>
          <cell r="C5" t="str">
            <v>Wayne, PA</v>
          </cell>
        </row>
        <row r="6">
          <cell r="B6" t="str">
            <v>BAYSTAR</v>
          </cell>
          <cell r="C6" t="str">
            <v>Pasadena, TX</v>
          </cell>
        </row>
        <row r="7">
          <cell r="B7" t="str">
            <v>CookUnity</v>
          </cell>
          <cell r="C7" t="str">
            <v>Brooklyn, NY</v>
          </cell>
        </row>
        <row r="8">
          <cell r="B8" t="str">
            <v>BCI Brands</v>
          </cell>
          <cell r="C8" t="str">
            <v>New York, NY</v>
          </cell>
        </row>
        <row r="9">
          <cell r="B9" t="str">
            <v>Bisig Impact Group</v>
          </cell>
          <cell r="C9" t="str">
            <v>Louisville, KY</v>
          </cell>
        </row>
        <row r="10">
          <cell r="B10" t="str">
            <v>Flynn Construction Inc.</v>
          </cell>
          <cell r="C10" t="str">
            <v>Austin, TX</v>
          </cell>
        </row>
        <row r="11">
          <cell r="B11" t="str">
            <v>Vuteq USA, Inc.</v>
          </cell>
          <cell r="C11" t="str">
            <v>Georgetown, KY</v>
          </cell>
        </row>
      </sheetData>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0"/>
  <sheetViews>
    <sheetView tabSelected="1" workbookViewId="0">
      <selection activeCell="B3" sqref="B1:N1048576"/>
    </sheetView>
  </sheetViews>
  <sheetFormatPr defaultRowHeight="15" x14ac:dyDescent="0.25"/>
  <cols>
    <col min="1" max="13" width="25.7109375" customWidth="1"/>
  </cols>
  <sheetData>
    <row r="1" spans="1:17" ht="32.1" customHeight="1" x14ac:dyDescent="0.35">
      <c r="A1" s="2" t="s">
        <v>0</v>
      </c>
      <c r="B1" s="3"/>
      <c r="C1" s="3"/>
      <c r="D1" s="3"/>
      <c r="E1" s="3"/>
      <c r="F1" s="3"/>
      <c r="G1" s="3"/>
      <c r="H1" s="3"/>
      <c r="I1" s="3"/>
      <c r="J1" s="3"/>
      <c r="K1" s="3"/>
    </row>
    <row r="2" spans="1:17" ht="20.100000000000001" customHeight="1" x14ac:dyDescent="0.25">
      <c r="A2" s="4" t="s">
        <v>1</v>
      </c>
      <c r="B2" s="3"/>
      <c r="C2" s="3"/>
      <c r="D2" s="3"/>
      <c r="E2" s="3"/>
      <c r="F2" s="3"/>
      <c r="G2" s="3"/>
      <c r="H2" s="3"/>
      <c r="I2" s="3"/>
      <c r="J2" s="3"/>
      <c r="K2" s="3"/>
    </row>
    <row r="4" spans="1:17" ht="15" customHeight="1" x14ac:dyDescent="0.25">
      <c r="A4" s="5" t="s">
        <v>2</v>
      </c>
      <c r="B4" s="5" t="s">
        <v>3</v>
      </c>
      <c r="C4" s="5" t="s">
        <v>4</v>
      </c>
      <c r="D4" s="5" t="s">
        <v>25</v>
      </c>
      <c r="E4" s="5" t="s">
        <v>26</v>
      </c>
      <c r="F4" s="5" t="s">
        <v>4</v>
      </c>
      <c r="G4" s="5" t="s">
        <v>5</v>
      </c>
      <c r="H4" s="5" t="s">
        <v>6</v>
      </c>
      <c r="I4" s="5" t="s">
        <v>7</v>
      </c>
      <c r="J4" s="5" t="s">
        <v>8</v>
      </c>
      <c r="K4" s="5" t="s">
        <v>9</v>
      </c>
      <c r="L4" s="5" t="s">
        <v>10</v>
      </c>
      <c r="M4" s="5" t="s">
        <v>11</v>
      </c>
      <c r="O4" s="7"/>
      <c r="P4" s="7"/>
      <c r="Q4" s="7"/>
    </row>
    <row r="5" spans="1:17" ht="15" customHeight="1" x14ac:dyDescent="0.25">
      <c r="A5" s="6" t="s">
        <v>27</v>
      </c>
      <c r="B5" s="6" t="s">
        <v>56</v>
      </c>
      <c r="C5" s="6" t="s">
        <v>41</v>
      </c>
      <c r="D5" s="6" t="s">
        <v>40</v>
      </c>
      <c r="E5" s="6" t="str">
        <f>VLOOKUP(B5,[1]Complete!$B$2:$C$11,2,0)</f>
        <v>Jersey City, NJ</v>
      </c>
      <c r="F5" s="6" t="s">
        <v>41</v>
      </c>
      <c r="G5" s="6" t="s">
        <v>13</v>
      </c>
      <c r="H5" s="6">
        <v>1</v>
      </c>
      <c r="I5" s="6" t="s">
        <v>121</v>
      </c>
      <c r="J5" s="6">
        <v>0.9</v>
      </c>
      <c r="K5" s="6" t="s">
        <v>44</v>
      </c>
      <c r="L5" s="6" t="s">
        <v>57</v>
      </c>
      <c r="M5" s="8" t="s">
        <v>129</v>
      </c>
      <c r="O5" s="8"/>
      <c r="P5" s="8"/>
      <c r="Q5" s="8"/>
    </row>
    <row r="6" spans="1:17" ht="15" customHeight="1" x14ac:dyDescent="0.25">
      <c r="A6" s="6" t="s">
        <v>27</v>
      </c>
      <c r="B6" s="6" t="s">
        <v>56</v>
      </c>
      <c r="C6" s="6" t="s">
        <v>41</v>
      </c>
      <c r="D6" s="6" t="s">
        <v>40</v>
      </c>
      <c r="E6" s="6" t="str">
        <f>VLOOKUP(B6,[1]Complete!$B$2:$C$11,2,0)</f>
        <v>Jersey City, NJ</v>
      </c>
      <c r="F6" s="6" t="s">
        <v>41</v>
      </c>
      <c r="G6" s="6" t="s">
        <v>13</v>
      </c>
      <c r="H6" s="6">
        <v>2</v>
      </c>
      <c r="I6" s="6" t="s">
        <v>29</v>
      </c>
      <c r="J6" s="6">
        <v>0.85</v>
      </c>
      <c r="K6" s="6" t="s">
        <v>42</v>
      </c>
      <c r="L6" s="6" t="s">
        <v>58</v>
      </c>
      <c r="M6" s="8" t="s">
        <v>102</v>
      </c>
      <c r="O6" s="8"/>
      <c r="P6" s="8"/>
      <c r="Q6" s="8"/>
    </row>
    <row r="7" spans="1:17" ht="15" customHeight="1" x14ac:dyDescent="0.25">
      <c r="A7" s="6" t="s">
        <v>27</v>
      </c>
      <c r="B7" s="6" t="s">
        <v>56</v>
      </c>
      <c r="C7" s="6" t="s">
        <v>41</v>
      </c>
      <c r="D7" s="6" t="s">
        <v>40</v>
      </c>
      <c r="E7" s="6" t="str">
        <f>VLOOKUP(B7,[1]Complete!$B$2:$C$11,2,0)</f>
        <v>Jersey City, NJ</v>
      </c>
      <c r="F7" s="6" t="s">
        <v>41</v>
      </c>
      <c r="G7" s="6" t="s">
        <v>13</v>
      </c>
      <c r="H7" s="6">
        <v>3</v>
      </c>
      <c r="I7" s="6" t="s">
        <v>122</v>
      </c>
      <c r="J7" s="6">
        <v>0.8</v>
      </c>
      <c r="K7" s="6" t="s">
        <v>51</v>
      </c>
      <c r="L7" s="6" t="s">
        <v>59</v>
      </c>
      <c r="M7" s="8" t="s">
        <v>103</v>
      </c>
      <c r="O7" s="8"/>
      <c r="P7" s="8"/>
      <c r="Q7" s="8"/>
    </row>
    <row r="8" spans="1:17" ht="15" customHeight="1" x14ac:dyDescent="0.25">
      <c r="A8" s="6" t="s">
        <v>14</v>
      </c>
      <c r="B8" s="6" t="s">
        <v>86</v>
      </c>
      <c r="C8" s="6" t="s">
        <v>55</v>
      </c>
      <c r="D8" s="6" t="s">
        <v>40</v>
      </c>
      <c r="E8" s="6" t="str">
        <f>VLOOKUP(B8,[1]Complete!$B$2:$C$11,2,0)</f>
        <v>Cambridge, MA</v>
      </c>
      <c r="F8" s="6" t="s">
        <v>55</v>
      </c>
      <c r="G8" s="6" t="s">
        <v>15</v>
      </c>
      <c r="H8" s="6">
        <v>1</v>
      </c>
      <c r="I8" s="6" t="s">
        <v>29</v>
      </c>
      <c r="J8" s="6">
        <v>0.85</v>
      </c>
      <c r="K8" s="6" t="s">
        <v>42</v>
      </c>
      <c r="L8" s="6" t="s">
        <v>87</v>
      </c>
      <c r="M8" s="8" t="s">
        <v>130</v>
      </c>
      <c r="O8" s="8"/>
      <c r="P8" s="8"/>
      <c r="Q8" s="8"/>
    </row>
    <row r="9" spans="1:17" ht="15" customHeight="1" x14ac:dyDescent="0.25">
      <c r="A9" s="6" t="s">
        <v>14</v>
      </c>
      <c r="B9" s="6" t="s">
        <v>86</v>
      </c>
      <c r="C9" s="6" t="s">
        <v>55</v>
      </c>
      <c r="D9" s="6" t="s">
        <v>40</v>
      </c>
      <c r="E9" s="6" t="str">
        <f>VLOOKUP(B9,[1]Complete!$B$2:$C$11,2,0)</f>
        <v>Cambridge, MA</v>
      </c>
      <c r="F9" s="6" t="s">
        <v>55</v>
      </c>
      <c r="G9" s="6" t="s">
        <v>15</v>
      </c>
      <c r="H9" s="6">
        <v>2</v>
      </c>
      <c r="I9" s="6" t="s">
        <v>121</v>
      </c>
      <c r="J9" s="6">
        <v>0.8</v>
      </c>
      <c r="K9" s="6" t="s">
        <v>44</v>
      </c>
      <c r="L9" s="6" t="s">
        <v>88</v>
      </c>
      <c r="M9" s="8" t="s">
        <v>131</v>
      </c>
      <c r="O9" s="8"/>
      <c r="P9" s="8"/>
      <c r="Q9" s="8"/>
    </row>
    <row r="10" spans="1:17" ht="15" customHeight="1" x14ac:dyDescent="0.25">
      <c r="A10" s="6" t="s">
        <v>16</v>
      </c>
      <c r="B10" s="6" t="s">
        <v>94</v>
      </c>
      <c r="C10" s="6" t="s">
        <v>50</v>
      </c>
      <c r="D10" s="6" t="s">
        <v>40</v>
      </c>
      <c r="E10" s="6" t="str">
        <f>VLOOKUP(B10,[1]Complete!$B$2:$C$11,2,0)</f>
        <v>Tampa, FL</v>
      </c>
      <c r="F10" s="6" t="s">
        <v>50</v>
      </c>
      <c r="G10" s="6" t="s">
        <v>13</v>
      </c>
      <c r="H10" s="6">
        <v>1</v>
      </c>
      <c r="I10" s="6" t="s">
        <v>121</v>
      </c>
      <c r="J10" s="6">
        <v>0.95</v>
      </c>
      <c r="K10" s="6" t="s">
        <v>44</v>
      </c>
      <c r="L10" s="6" t="s">
        <v>95</v>
      </c>
      <c r="M10" s="8" t="s">
        <v>104</v>
      </c>
      <c r="O10" s="8"/>
      <c r="P10" s="8"/>
      <c r="Q10" s="8"/>
    </row>
    <row r="11" spans="1:17" ht="15" customHeight="1" x14ac:dyDescent="0.25">
      <c r="A11" s="6" t="s">
        <v>16</v>
      </c>
      <c r="B11" s="6" t="s">
        <v>94</v>
      </c>
      <c r="C11" s="6" t="s">
        <v>50</v>
      </c>
      <c r="D11" s="6" t="s">
        <v>40</v>
      </c>
      <c r="E11" s="6" t="str">
        <f>VLOOKUP(B11,[1]Complete!$B$2:$C$11,2,0)</f>
        <v>Tampa, FL</v>
      </c>
      <c r="F11" s="6" t="s">
        <v>50</v>
      </c>
      <c r="G11" s="6" t="s">
        <v>13</v>
      </c>
      <c r="H11" s="6">
        <v>2</v>
      </c>
      <c r="I11" s="6" t="s">
        <v>29</v>
      </c>
      <c r="J11" s="6">
        <v>0.9</v>
      </c>
      <c r="K11" s="6" t="s">
        <v>42</v>
      </c>
      <c r="L11" s="6" t="s">
        <v>96</v>
      </c>
      <c r="M11" s="8" t="s">
        <v>105</v>
      </c>
      <c r="O11" s="8"/>
      <c r="P11" s="8"/>
      <c r="Q11" s="8"/>
    </row>
    <row r="12" spans="1:17" ht="15" customHeight="1" x14ac:dyDescent="0.25">
      <c r="A12" s="6" t="s">
        <v>16</v>
      </c>
      <c r="B12" s="6" t="s">
        <v>94</v>
      </c>
      <c r="C12" s="6" t="s">
        <v>50</v>
      </c>
      <c r="D12" s="6" t="s">
        <v>40</v>
      </c>
      <c r="E12" s="6" t="str">
        <f>VLOOKUP(B12,[1]Complete!$B$2:$C$11,2,0)</f>
        <v>Tampa, FL</v>
      </c>
      <c r="F12" s="6" t="s">
        <v>50</v>
      </c>
      <c r="G12" s="6" t="s">
        <v>13</v>
      </c>
      <c r="H12" s="6">
        <v>3</v>
      </c>
      <c r="I12" s="6" t="s">
        <v>39</v>
      </c>
      <c r="J12" s="6">
        <v>0.8</v>
      </c>
      <c r="K12" s="6" t="s">
        <v>51</v>
      </c>
      <c r="L12" s="6" t="s">
        <v>97</v>
      </c>
      <c r="M12" s="8" t="s">
        <v>106</v>
      </c>
      <c r="O12" s="8"/>
      <c r="P12" s="8"/>
      <c r="Q12" s="8"/>
    </row>
    <row r="13" spans="1:17" ht="15" customHeight="1" x14ac:dyDescent="0.25">
      <c r="A13" s="6" t="s">
        <v>17</v>
      </c>
      <c r="B13" s="6" t="s">
        <v>90</v>
      </c>
      <c r="C13" s="6" t="s">
        <v>55</v>
      </c>
      <c r="D13" s="6" t="s">
        <v>40</v>
      </c>
      <c r="E13" s="6" t="str">
        <f>VLOOKUP(B13,[1]Complete!$B$2:$C$11,2,0)</f>
        <v>Wayne, PA</v>
      </c>
      <c r="F13" s="6" t="s">
        <v>55</v>
      </c>
      <c r="G13" s="6" t="s">
        <v>13</v>
      </c>
      <c r="H13" s="6">
        <v>1</v>
      </c>
      <c r="I13" s="6" t="s">
        <v>29</v>
      </c>
      <c r="J13" s="6">
        <v>0.9</v>
      </c>
      <c r="K13" s="6" t="s">
        <v>42</v>
      </c>
      <c r="L13" s="6" t="s">
        <v>91</v>
      </c>
      <c r="M13" s="8" t="s">
        <v>107</v>
      </c>
      <c r="O13" s="8"/>
      <c r="P13" s="8"/>
      <c r="Q13" s="8"/>
    </row>
    <row r="14" spans="1:17" ht="15" customHeight="1" x14ac:dyDescent="0.25">
      <c r="A14" s="6" t="s">
        <v>17</v>
      </c>
      <c r="B14" s="6" t="s">
        <v>90</v>
      </c>
      <c r="C14" s="6" t="s">
        <v>55</v>
      </c>
      <c r="D14" s="6" t="s">
        <v>40</v>
      </c>
      <c r="E14" s="6" t="str">
        <f>VLOOKUP(B14,[1]Complete!$B$2:$C$11,2,0)</f>
        <v>Wayne, PA</v>
      </c>
      <c r="F14" s="6" t="s">
        <v>55</v>
      </c>
      <c r="G14" s="6" t="s">
        <v>13</v>
      </c>
      <c r="H14" s="6">
        <v>2</v>
      </c>
      <c r="I14" s="6" t="s">
        <v>121</v>
      </c>
      <c r="J14" s="6">
        <v>0.85</v>
      </c>
      <c r="K14" s="6" t="s">
        <v>44</v>
      </c>
      <c r="L14" s="6" t="s">
        <v>92</v>
      </c>
      <c r="M14" s="8" t="s">
        <v>108</v>
      </c>
      <c r="O14" s="8"/>
      <c r="P14" s="8"/>
      <c r="Q14" s="8"/>
    </row>
    <row r="15" spans="1:17" ht="15" customHeight="1" x14ac:dyDescent="0.25">
      <c r="A15" s="6" t="s">
        <v>17</v>
      </c>
      <c r="B15" s="6" t="s">
        <v>90</v>
      </c>
      <c r="C15" s="6" t="s">
        <v>55</v>
      </c>
      <c r="D15" s="6" t="s">
        <v>40</v>
      </c>
      <c r="E15" s="6" t="str">
        <f>VLOOKUP(B15,[1]Complete!$B$2:$C$11,2,0)</f>
        <v>Wayne, PA</v>
      </c>
      <c r="F15" s="6" t="s">
        <v>55</v>
      </c>
      <c r="G15" s="6" t="s">
        <v>13</v>
      </c>
      <c r="H15" s="6">
        <v>3</v>
      </c>
      <c r="I15" s="6" t="s">
        <v>39</v>
      </c>
      <c r="J15" s="6">
        <v>0.8</v>
      </c>
      <c r="K15" s="6" t="s">
        <v>54</v>
      </c>
      <c r="L15" s="6" t="s">
        <v>93</v>
      </c>
      <c r="M15" s="8" t="s">
        <v>109</v>
      </c>
      <c r="O15" s="8"/>
      <c r="P15" s="8"/>
      <c r="Q15" s="8"/>
    </row>
    <row r="16" spans="1:17" ht="15" customHeight="1" x14ac:dyDescent="0.25">
      <c r="A16" s="6" t="s">
        <v>18</v>
      </c>
      <c r="B16" s="6" t="s">
        <v>60</v>
      </c>
      <c r="C16" s="6" t="s">
        <v>21</v>
      </c>
      <c r="D16" s="6" t="s">
        <v>45</v>
      </c>
      <c r="E16" s="6" t="str">
        <f>VLOOKUP(B16,[1]Complete!$B$2:$C$11,2,0)</f>
        <v>Pasadena, TX</v>
      </c>
      <c r="F16" s="6" t="s">
        <v>21</v>
      </c>
      <c r="G16" s="6" t="s">
        <v>15</v>
      </c>
      <c r="H16" s="6">
        <v>1</v>
      </c>
      <c r="I16" s="6" t="s">
        <v>30</v>
      </c>
      <c r="J16" s="6">
        <v>0.9</v>
      </c>
      <c r="K16" s="6" t="s">
        <v>128</v>
      </c>
      <c r="L16" s="6" t="s">
        <v>63</v>
      </c>
      <c r="M16" s="8" t="s">
        <v>110</v>
      </c>
      <c r="O16" s="8"/>
      <c r="P16" s="8"/>
      <c r="Q16" s="8"/>
    </row>
    <row r="17" spans="1:17" ht="15" customHeight="1" x14ac:dyDescent="0.25">
      <c r="A17" s="6" t="s">
        <v>18</v>
      </c>
      <c r="B17" s="6" t="s">
        <v>60</v>
      </c>
      <c r="C17" s="6" t="s">
        <v>21</v>
      </c>
      <c r="D17" s="6" t="s">
        <v>45</v>
      </c>
      <c r="E17" s="6" t="str">
        <f>VLOOKUP(B17,[1]Complete!$B$2:$C$11,2,0)</f>
        <v>Pasadena, TX</v>
      </c>
      <c r="F17" s="6" t="s">
        <v>21</v>
      </c>
      <c r="G17" s="6" t="s">
        <v>15</v>
      </c>
      <c r="H17" s="6">
        <v>2</v>
      </c>
      <c r="I17" s="6" t="s">
        <v>123</v>
      </c>
      <c r="J17" s="6">
        <v>0.85</v>
      </c>
      <c r="K17" s="6" t="s">
        <v>44</v>
      </c>
      <c r="L17" s="6" t="s">
        <v>65</v>
      </c>
      <c r="M17" s="8" t="s">
        <v>111</v>
      </c>
      <c r="O17" s="8"/>
      <c r="P17" s="8"/>
      <c r="Q17" s="8"/>
    </row>
    <row r="18" spans="1:17" ht="15" customHeight="1" x14ac:dyDescent="0.25">
      <c r="A18" s="6" t="s">
        <v>18</v>
      </c>
      <c r="B18" s="6" t="s">
        <v>60</v>
      </c>
      <c r="C18" s="6" t="s">
        <v>21</v>
      </c>
      <c r="D18" s="6" t="s">
        <v>45</v>
      </c>
      <c r="E18" s="6" t="str">
        <f>VLOOKUP(B18,[1]Complete!$B$2:$C$11,2,0)</f>
        <v>Pasadena, TX</v>
      </c>
      <c r="F18" s="6" t="s">
        <v>21</v>
      </c>
      <c r="G18" s="6" t="s">
        <v>15</v>
      </c>
      <c r="H18" s="6">
        <v>3</v>
      </c>
      <c r="I18" s="6" t="s">
        <v>66</v>
      </c>
      <c r="J18" s="6">
        <v>0.8</v>
      </c>
      <c r="K18" s="6" t="s">
        <v>47</v>
      </c>
      <c r="L18" s="6" t="s">
        <v>67</v>
      </c>
      <c r="M18" s="8" t="s">
        <v>112</v>
      </c>
      <c r="O18" s="8"/>
      <c r="P18" s="8"/>
      <c r="Q18" s="8"/>
    </row>
    <row r="19" spans="1:17" ht="15" customHeight="1" x14ac:dyDescent="0.25">
      <c r="A19" s="6" t="s">
        <v>20</v>
      </c>
      <c r="B19" s="6" t="s">
        <v>78</v>
      </c>
      <c r="C19" s="6" t="s">
        <v>21</v>
      </c>
      <c r="D19" s="6" t="s">
        <v>40</v>
      </c>
      <c r="E19" s="6" t="str">
        <f>VLOOKUP(B19,[1]Complete!$B$2:$C$11,2,0)</f>
        <v>Brooklyn, NY</v>
      </c>
      <c r="F19" s="6" t="s">
        <v>21</v>
      </c>
      <c r="G19" s="6" t="s">
        <v>15</v>
      </c>
      <c r="H19" s="6">
        <v>1</v>
      </c>
      <c r="I19" s="6" t="s">
        <v>124</v>
      </c>
      <c r="J19" s="6">
        <v>0.85</v>
      </c>
      <c r="K19" s="6" t="s">
        <v>42</v>
      </c>
      <c r="L19" s="6" t="s">
        <v>79</v>
      </c>
      <c r="M19" s="8" t="s">
        <v>113</v>
      </c>
      <c r="O19" s="8"/>
      <c r="P19" s="8"/>
      <c r="Q19" s="8"/>
    </row>
    <row r="20" spans="1:17" ht="15" customHeight="1" x14ac:dyDescent="0.25">
      <c r="A20" s="6" t="s">
        <v>20</v>
      </c>
      <c r="B20" s="6" t="s">
        <v>78</v>
      </c>
      <c r="C20" s="6" t="s">
        <v>21</v>
      </c>
      <c r="D20" s="6" t="s">
        <v>40</v>
      </c>
      <c r="E20" s="6" t="str">
        <f>VLOOKUP(B20,[1]Complete!$B$2:$C$11,2,0)</f>
        <v>Brooklyn, NY</v>
      </c>
      <c r="F20" s="6" t="s">
        <v>21</v>
      </c>
      <c r="G20" s="6" t="s">
        <v>15</v>
      </c>
      <c r="H20" s="6">
        <v>2</v>
      </c>
      <c r="I20" s="6" t="s">
        <v>77</v>
      </c>
      <c r="J20" s="6">
        <v>0.8</v>
      </c>
      <c r="K20" s="6" t="s">
        <v>42</v>
      </c>
      <c r="L20" s="6" t="s">
        <v>80</v>
      </c>
      <c r="M20" s="8" t="s">
        <v>114</v>
      </c>
      <c r="O20" s="8"/>
      <c r="P20" s="8"/>
      <c r="Q20" s="8"/>
    </row>
    <row r="21" spans="1:17" ht="15" customHeight="1" x14ac:dyDescent="0.25">
      <c r="A21" s="6" t="s">
        <v>20</v>
      </c>
      <c r="B21" s="6" t="s">
        <v>78</v>
      </c>
      <c r="C21" s="6" t="s">
        <v>21</v>
      </c>
      <c r="D21" s="6" t="s">
        <v>40</v>
      </c>
      <c r="E21" s="6" t="str">
        <f>VLOOKUP(B21,[1]Complete!$B$2:$C$11,2,0)</f>
        <v>Brooklyn, NY</v>
      </c>
      <c r="F21" s="6" t="s">
        <v>21</v>
      </c>
      <c r="G21" s="6" t="s">
        <v>15</v>
      </c>
      <c r="H21" s="6">
        <v>3</v>
      </c>
      <c r="I21" s="6" t="s">
        <v>125</v>
      </c>
      <c r="J21" s="6">
        <v>0.8</v>
      </c>
      <c r="K21" s="6" t="s">
        <v>128</v>
      </c>
      <c r="L21" s="6" t="s">
        <v>81</v>
      </c>
      <c r="M21" s="8" t="s">
        <v>115</v>
      </c>
      <c r="O21" s="8"/>
      <c r="P21" s="8"/>
      <c r="Q21" s="8"/>
    </row>
    <row r="22" spans="1:17" ht="15" customHeight="1" x14ac:dyDescent="0.25">
      <c r="A22" s="6" t="s">
        <v>22</v>
      </c>
      <c r="B22" s="6" t="s">
        <v>68</v>
      </c>
      <c r="C22" s="6" t="s">
        <v>48</v>
      </c>
      <c r="D22" s="6" t="s">
        <v>45</v>
      </c>
      <c r="E22" s="6" t="str">
        <f>VLOOKUP(B22,[1]Complete!$B$2:$C$11,2,0)</f>
        <v>New York, NY</v>
      </c>
      <c r="F22" s="6" t="s">
        <v>48</v>
      </c>
      <c r="G22" s="6" t="s">
        <v>13</v>
      </c>
      <c r="H22" s="6">
        <v>1</v>
      </c>
      <c r="I22" s="6" t="s">
        <v>126</v>
      </c>
      <c r="J22" s="6">
        <v>0.95</v>
      </c>
      <c r="K22" s="6" t="s">
        <v>46</v>
      </c>
      <c r="L22" s="6" t="s">
        <v>69</v>
      </c>
      <c r="M22" s="8" t="s">
        <v>116</v>
      </c>
      <c r="O22" s="8"/>
      <c r="P22" s="8"/>
      <c r="Q22" s="8"/>
    </row>
    <row r="23" spans="1:17" ht="15" customHeight="1" x14ac:dyDescent="0.25">
      <c r="A23" s="6" t="s">
        <v>22</v>
      </c>
      <c r="B23" s="6" t="s">
        <v>68</v>
      </c>
      <c r="C23" s="6" t="s">
        <v>48</v>
      </c>
      <c r="D23" s="6" t="s">
        <v>45</v>
      </c>
      <c r="E23" s="6" t="str">
        <f>VLOOKUP(B23,[1]Complete!$B$2:$C$11,2,0)</f>
        <v>New York, NY</v>
      </c>
      <c r="F23" s="6" t="s">
        <v>48</v>
      </c>
      <c r="G23" s="6" t="s">
        <v>13</v>
      </c>
      <c r="H23" s="6">
        <v>2</v>
      </c>
      <c r="I23" s="6" t="s">
        <v>124</v>
      </c>
      <c r="J23" s="6">
        <v>0.9</v>
      </c>
      <c r="K23" s="6" t="s">
        <v>42</v>
      </c>
      <c r="L23" s="6" t="s">
        <v>70</v>
      </c>
      <c r="M23" s="8" t="s">
        <v>117</v>
      </c>
      <c r="O23" s="8"/>
      <c r="P23" s="8"/>
      <c r="Q23" s="8"/>
    </row>
    <row r="24" spans="1:17" ht="15" customHeight="1" x14ac:dyDescent="0.25">
      <c r="A24" s="6" t="s">
        <v>22</v>
      </c>
      <c r="B24" s="6" t="s">
        <v>68</v>
      </c>
      <c r="C24" s="6" t="s">
        <v>48</v>
      </c>
      <c r="D24" s="6" t="s">
        <v>45</v>
      </c>
      <c r="E24" s="6" t="str">
        <f>VLOOKUP(B24,[1]Complete!$B$2:$C$11,2,0)</f>
        <v>New York, NY</v>
      </c>
      <c r="F24" s="6" t="s">
        <v>48</v>
      </c>
      <c r="G24" s="6" t="s">
        <v>13</v>
      </c>
      <c r="H24" s="6">
        <v>3</v>
      </c>
      <c r="I24" s="6" t="s">
        <v>121</v>
      </c>
      <c r="J24" s="6">
        <v>0.75</v>
      </c>
      <c r="K24" s="6" t="s">
        <v>44</v>
      </c>
      <c r="L24" s="6" t="s">
        <v>71</v>
      </c>
      <c r="M24" s="8" t="s">
        <v>118</v>
      </c>
      <c r="O24" s="8"/>
      <c r="P24" s="8"/>
      <c r="Q24" s="8"/>
    </row>
    <row r="25" spans="1:17" ht="15" customHeight="1" x14ac:dyDescent="0.25">
      <c r="A25" s="6" t="s">
        <v>23</v>
      </c>
      <c r="B25" s="6" t="s">
        <v>72</v>
      </c>
      <c r="C25" s="6" t="s">
        <v>55</v>
      </c>
      <c r="D25" s="6" t="s">
        <v>52</v>
      </c>
      <c r="E25" s="6" t="str">
        <f>VLOOKUP(B25,[1]Complete!$B$2:$C$11,2,0)</f>
        <v>Louisville, KY</v>
      </c>
      <c r="F25" s="6" t="s">
        <v>55</v>
      </c>
      <c r="G25" s="6" t="s">
        <v>19</v>
      </c>
      <c r="H25" s="6">
        <v>1</v>
      </c>
      <c r="I25" s="6" t="s">
        <v>127</v>
      </c>
      <c r="J25" s="6">
        <v>0.9</v>
      </c>
      <c r="K25" s="6" t="s">
        <v>42</v>
      </c>
      <c r="L25" s="6" t="s">
        <v>73</v>
      </c>
      <c r="M25" s="8" t="s">
        <v>132</v>
      </c>
      <c r="O25" s="8"/>
      <c r="P25" s="8"/>
      <c r="Q25" s="8"/>
    </row>
    <row r="26" spans="1:17" ht="15" customHeight="1" x14ac:dyDescent="0.25">
      <c r="A26" s="6" t="s">
        <v>23</v>
      </c>
      <c r="B26" s="6" t="s">
        <v>72</v>
      </c>
      <c r="C26" s="6" t="s">
        <v>55</v>
      </c>
      <c r="D26" s="6" t="s">
        <v>52</v>
      </c>
      <c r="E26" s="6" t="str">
        <f>VLOOKUP(B26,[1]Complete!$B$2:$C$11,2,0)</f>
        <v>Louisville, KY</v>
      </c>
      <c r="F26" s="6" t="s">
        <v>55</v>
      </c>
      <c r="G26" s="6" t="s">
        <v>19</v>
      </c>
      <c r="H26" s="6">
        <v>2</v>
      </c>
      <c r="I26" s="6" t="s">
        <v>126</v>
      </c>
      <c r="J26" s="6">
        <v>0.85</v>
      </c>
      <c r="K26" s="6" t="s">
        <v>46</v>
      </c>
      <c r="L26" s="6" t="s">
        <v>74</v>
      </c>
      <c r="M26" s="8" t="s">
        <v>133</v>
      </c>
      <c r="O26" s="8"/>
      <c r="P26" s="8"/>
      <c r="Q26" s="8"/>
    </row>
    <row r="27" spans="1:17" ht="15" customHeight="1" x14ac:dyDescent="0.25">
      <c r="A27" s="6" t="s">
        <v>28</v>
      </c>
      <c r="B27" s="6" t="s">
        <v>82</v>
      </c>
      <c r="C27" s="6" t="s">
        <v>12</v>
      </c>
      <c r="D27" s="6" t="s">
        <v>49</v>
      </c>
      <c r="E27" s="6" t="str">
        <f>VLOOKUP(B27,[1]Complete!$B$2:$C$11,2,0)</f>
        <v>Austin, TX</v>
      </c>
      <c r="F27" s="6" t="s">
        <v>12</v>
      </c>
      <c r="G27" s="6" t="s">
        <v>19</v>
      </c>
      <c r="H27" s="6">
        <v>1</v>
      </c>
      <c r="I27" s="6" t="s">
        <v>124</v>
      </c>
      <c r="J27" s="6">
        <v>0.85</v>
      </c>
      <c r="K27" s="6" t="s">
        <v>42</v>
      </c>
      <c r="L27" s="6" t="s">
        <v>83</v>
      </c>
      <c r="M27" s="8" t="s">
        <v>119</v>
      </c>
      <c r="O27" s="8"/>
      <c r="P27" s="8"/>
      <c r="Q27" s="8"/>
    </row>
    <row r="28" spans="1:17" ht="15" customHeight="1" x14ac:dyDescent="0.25">
      <c r="A28" s="6" t="s">
        <v>28</v>
      </c>
      <c r="B28" s="6" t="s">
        <v>82</v>
      </c>
      <c r="C28" s="6" t="s">
        <v>12</v>
      </c>
      <c r="D28" s="6" t="s">
        <v>49</v>
      </c>
      <c r="E28" s="6" t="str">
        <f>VLOOKUP(B28,[1]Complete!$B$2:$C$11,2,0)</f>
        <v>Austin, TX</v>
      </c>
      <c r="F28" s="6" t="s">
        <v>12</v>
      </c>
      <c r="G28" s="6" t="s">
        <v>19</v>
      </c>
      <c r="H28" s="6">
        <v>2</v>
      </c>
      <c r="I28" s="6" t="s">
        <v>76</v>
      </c>
      <c r="J28" s="6">
        <v>0.8</v>
      </c>
      <c r="K28" s="6" t="s">
        <v>128</v>
      </c>
      <c r="L28" s="6" t="s">
        <v>84</v>
      </c>
      <c r="M28" s="8" t="s">
        <v>120</v>
      </c>
      <c r="O28" s="8"/>
      <c r="P28" s="8"/>
      <c r="Q28" s="8"/>
    </row>
    <row r="29" spans="1:17" ht="15" customHeight="1" x14ac:dyDescent="0.25">
      <c r="A29" s="6" t="s">
        <v>24</v>
      </c>
      <c r="B29" s="6" t="s">
        <v>98</v>
      </c>
      <c r="C29" s="6" t="s">
        <v>21</v>
      </c>
      <c r="D29" s="6" t="s">
        <v>53</v>
      </c>
      <c r="E29" s="6" t="str">
        <f>VLOOKUP(B29,[1]Complete!$B$2:$C$11,2,0)</f>
        <v>Georgetown, KY</v>
      </c>
      <c r="F29" s="6" t="s">
        <v>21</v>
      </c>
      <c r="G29" s="6" t="s">
        <v>19</v>
      </c>
      <c r="H29" s="6">
        <v>1</v>
      </c>
      <c r="I29" s="6" t="s">
        <v>29</v>
      </c>
      <c r="J29" s="6">
        <v>0.9</v>
      </c>
      <c r="K29" s="6" t="s">
        <v>42</v>
      </c>
      <c r="L29" s="6" t="s">
        <v>99</v>
      </c>
      <c r="M29" s="8" t="s">
        <v>134</v>
      </c>
      <c r="O29" s="8"/>
      <c r="P29" s="8"/>
      <c r="Q29" s="8"/>
    </row>
    <row r="30" spans="1:17" ht="15" customHeight="1" x14ac:dyDescent="0.25">
      <c r="A30" s="6" t="s">
        <v>24</v>
      </c>
      <c r="B30" s="6" t="s">
        <v>98</v>
      </c>
      <c r="C30" s="6" t="s">
        <v>21</v>
      </c>
      <c r="D30" s="6" t="s">
        <v>53</v>
      </c>
      <c r="E30" s="6" t="str">
        <f>VLOOKUP(B30,[1]Complete!$B$2:$C$11,2,0)</f>
        <v>Georgetown, KY</v>
      </c>
      <c r="F30" s="6" t="s">
        <v>21</v>
      </c>
      <c r="G30" s="6" t="s">
        <v>19</v>
      </c>
      <c r="H30" s="6">
        <v>2</v>
      </c>
      <c r="I30" s="6" t="s">
        <v>30</v>
      </c>
      <c r="J30" s="6">
        <v>0.85</v>
      </c>
      <c r="K30" s="6" t="s">
        <v>128</v>
      </c>
      <c r="L30" s="6" t="s">
        <v>100</v>
      </c>
      <c r="M30" s="8" t="s">
        <v>135</v>
      </c>
      <c r="O30" s="8"/>
      <c r="P30" s="8"/>
      <c r="Q30" s="8"/>
    </row>
  </sheetData>
  <mergeCells count="2">
    <mergeCell ref="A1:K1"/>
    <mergeCell ref="A2:K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04642-F6B9-4835-AAFB-3AF99E3168B0}">
  <dimension ref="A1:L31"/>
  <sheetViews>
    <sheetView topLeftCell="B20" workbookViewId="0">
      <selection sqref="A1:L31"/>
    </sheetView>
  </sheetViews>
  <sheetFormatPr defaultRowHeight="15" x14ac:dyDescent="0.25"/>
  <cols>
    <col min="1" max="2" width="22.7109375" customWidth="1"/>
    <col min="3" max="3" width="43" bestFit="1" customWidth="1"/>
    <col min="4" max="4" width="18.5703125" customWidth="1"/>
    <col min="5" max="27" width="22.7109375" customWidth="1"/>
  </cols>
  <sheetData>
    <row r="1" spans="1:12" ht="51" customHeight="1" x14ac:dyDescent="0.25">
      <c r="A1" s="5" t="s">
        <v>2</v>
      </c>
      <c r="B1" s="5" t="s">
        <v>3</v>
      </c>
      <c r="C1" s="5" t="s">
        <v>4</v>
      </c>
      <c r="D1" s="5" t="s">
        <v>25</v>
      </c>
      <c r="E1" s="5" t="s">
        <v>26</v>
      </c>
      <c r="F1" s="5" t="s">
        <v>4</v>
      </c>
      <c r="G1" s="5" t="s">
        <v>5</v>
      </c>
      <c r="H1" s="5" t="s">
        <v>6</v>
      </c>
      <c r="I1" s="5" t="s">
        <v>7</v>
      </c>
      <c r="J1" s="5" t="s">
        <v>8</v>
      </c>
      <c r="K1" s="5" t="s">
        <v>9</v>
      </c>
      <c r="L1" s="5" t="s">
        <v>10</v>
      </c>
    </row>
    <row r="2" spans="1:12" s="1" customFormat="1" ht="51" customHeight="1" x14ac:dyDescent="0.25">
      <c r="A2" s="6" t="s">
        <v>27</v>
      </c>
      <c r="B2" s="6" t="s">
        <v>56</v>
      </c>
      <c r="C2" s="6" t="s">
        <v>41</v>
      </c>
      <c r="D2" s="6" t="s">
        <v>40</v>
      </c>
      <c r="E2" s="6" t="str">
        <f>VLOOKUP(B2,[1]Complete!$B$2:$C$11,2,0)</f>
        <v>Jersey City, NJ</v>
      </c>
      <c r="F2" s="6" t="s">
        <v>41</v>
      </c>
      <c r="G2" s="6" t="s">
        <v>13</v>
      </c>
      <c r="H2" s="6">
        <v>1</v>
      </c>
      <c r="I2" s="6" t="s">
        <v>31</v>
      </c>
      <c r="J2" s="6">
        <v>0.9</v>
      </c>
      <c r="K2" s="6" t="s">
        <v>44</v>
      </c>
      <c r="L2" s="6" t="s">
        <v>57</v>
      </c>
    </row>
    <row r="3" spans="1:12" s="1" customFormat="1" ht="51" customHeight="1" x14ac:dyDescent="0.25">
      <c r="A3" s="6" t="s">
        <v>27</v>
      </c>
      <c r="B3" s="6" t="s">
        <v>56</v>
      </c>
      <c r="C3" s="6" t="s">
        <v>41</v>
      </c>
      <c r="D3" s="6" t="s">
        <v>40</v>
      </c>
      <c r="E3" s="6" t="str">
        <f>VLOOKUP(B3,[1]Complete!$B$2:$C$11,2,0)</f>
        <v>Jersey City, NJ</v>
      </c>
      <c r="F3" s="6" t="s">
        <v>41</v>
      </c>
      <c r="G3" s="6" t="s">
        <v>13</v>
      </c>
      <c r="H3" s="6">
        <v>2</v>
      </c>
      <c r="I3" s="6" t="s">
        <v>29</v>
      </c>
      <c r="J3" s="6">
        <v>0.85</v>
      </c>
      <c r="K3" s="6" t="s">
        <v>42</v>
      </c>
      <c r="L3" s="6" t="s">
        <v>58</v>
      </c>
    </row>
    <row r="4" spans="1:12" s="1" customFormat="1" ht="51" customHeight="1" x14ac:dyDescent="0.25">
      <c r="A4" s="6" t="s">
        <v>27</v>
      </c>
      <c r="B4" s="6" t="s">
        <v>56</v>
      </c>
      <c r="C4" s="6" t="s">
        <v>41</v>
      </c>
      <c r="D4" s="6" t="s">
        <v>40</v>
      </c>
      <c r="E4" s="6" t="str">
        <f>VLOOKUP(B4,[1]Complete!$B$2:$C$11,2,0)</f>
        <v>Jersey City, NJ</v>
      </c>
      <c r="F4" s="6" t="s">
        <v>41</v>
      </c>
      <c r="G4" s="6" t="s">
        <v>13</v>
      </c>
      <c r="H4" s="6">
        <v>3</v>
      </c>
      <c r="I4" s="6" t="s">
        <v>37</v>
      </c>
      <c r="J4" s="6">
        <v>0.8</v>
      </c>
      <c r="K4" s="6" t="s">
        <v>51</v>
      </c>
      <c r="L4" s="6" t="s">
        <v>59</v>
      </c>
    </row>
    <row r="5" spans="1:12" s="1" customFormat="1" ht="51" customHeight="1" x14ac:dyDescent="0.25">
      <c r="A5" s="6" t="s">
        <v>14</v>
      </c>
      <c r="B5" s="6" t="s">
        <v>86</v>
      </c>
      <c r="C5" s="6" t="s">
        <v>55</v>
      </c>
      <c r="D5" s="6" t="s">
        <v>40</v>
      </c>
      <c r="E5" s="6" t="str">
        <f>VLOOKUP(B5,[1]Complete!$B$2:$C$11,2,0)</f>
        <v>Cambridge, MA</v>
      </c>
      <c r="F5" s="6" t="s">
        <v>55</v>
      </c>
      <c r="G5" s="6" t="s">
        <v>13</v>
      </c>
      <c r="H5" s="6">
        <v>1</v>
      </c>
      <c r="I5" s="6" t="s">
        <v>29</v>
      </c>
      <c r="J5" s="6">
        <v>0.85</v>
      </c>
      <c r="K5" s="6" t="s">
        <v>42</v>
      </c>
      <c r="L5" s="6" t="s">
        <v>87</v>
      </c>
    </row>
    <row r="6" spans="1:12" s="1" customFormat="1" ht="51" customHeight="1" x14ac:dyDescent="0.25">
      <c r="A6" s="6" t="s">
        <v>14</v>
      </c>
      <c r="B6" s="6" t="s">
        <v>86</v>
      </c>
      <c r="C6" s="6" t="s">
        <v>55</v>
      </c>
      <c r="D6" s="6" t="s">
        <v>40</v>
      </c>
      <c r="E6" s="6" t="str">
        <f>VLOOKUP(B6,[1]Complete!$B$2:$C$11,2,0)</f>
        <v>Cambridge, MA</v>
      </c>
      <c r="F6" s="6" t="s">
        <v>55</v>
      </c>
      <c r="G6" s="6" t="s">
        <v>13</v>
      </c>
      <c r="H6" s="6">
        <v>2</v>
      </c>
      <c r="I6" s="6" t="s">
        <v>31</v>
      </c>
      <c r="J6" s="6">
        <v>0.8</v>
      </c>
      <c r="K6" s="6" t="s">
        <v>44</v>
      </c>
      <c r="L6" s="6" t="s">
        <v>88</v>
      </c>
    </row>
    <row r="7" spans="1:12" s="1" customFormat="1" ht="51" customHeight="1" x14ac:dyDescent="0.25">
      <c r="A7" s="6" t="s">
        <v>14</v>
      </c>
      <c r="B7" s="6" t="s">
        <v>86</v>
      </c>
      <c r="C7" s="6" t="s">
        <v>55</v>
      </c>
      <c r="D7" s="6" t="s">
        <v>40</v>
      </c>
      <c r="E7" s="6" t="str">
        <f>VLOOKUP(B7,[1]Complete!$B$2:$C$11,2,0)</f>
        <v>Cambridge, MA</v>
      </c>
      <c r="F7" s="6" t="s">
        <v>55</v>
      </c>
      <c r="G7" s="6" t="s">
        <v>13</v>
      </c>
      <c r="H7" s="6">
        <v>3</v>
      </c>
      <c r="I7" s="6" t="s">
        <v>38</v>
      </c>
      <c r="J7" s="6">
        <v>0.8</v>
      </c>
      <c r="K7" s="6" t="s">
        <v>47</v>
      </c>
      <c r="L7" s="6" t="s">
        <v>89</v>
      </c>
    </row>
    <row r="8" spans="1:12" s="1" customFormat="1" ht="51" customHeight="1" x14ac:dyDescent="0.25">
      <c r="A8" s="6" t="s">
        <v>16</v>
      </c>
      <c r="B8" s="6" t="s">
        <v>94</v>
      </c>
      <c r="C8" s="6" t="s">
        <v>50</v>
      </c>
      <c r="D8" s="6" t="s">
        <v>40</v>
      </c>
      <c r="E8" s="6" t="str">
        <f>VLOOKUP(B8,[1]Complete!$B$2:$C$11,2,0)</f>
        <v>Tampa, FL</v>
      </c>
      <c r="F8" s="6" t="s">
        <v>50</v>
      </c>
      <c r="G8" s="6" t="s">
        <v>13</v>
      </c>
      <c r="H8" s="6">
        <v>1</v>
      </c>
      <c r="I8" s="6" t="s">
        <v>31</v>
      </c>
      <c r="J8" s="6">
        <v>0.95</v>
      </c>
      <c r="K8" s="6" t="s">
        <v>44</v>
      </c>
      <c r="L8" s="6" t="s">
        <v>95</v>
      </c>
    </row>
    <row r="9" spans="1:12" s="1" customFormat="1" ht="51" customHeight="1" x14ac:dyDescent="0.25">
      <c r="A9" s="6" t="s">
        <v>16</v>
      </c>
      <c r="B9" s="6" t="s">
        <v>94</v>
      </c>
      <c r="C9" s="6" t="s">
        <v>50</v>
      </c>
      <c r="D9" s="6" t="s">
        <v>40</v>
      </c>
      <c r="E9" s="6" t="str">
        <f>VLOOKUP(B9,[1]Complete!$B$2:$C$11,2,0)</f>
        <v>Tampa, FL</v>
      </c>
      <c r="F9" s="6" t="s">
        <v>50</v>
      </c>
      <c r="G9" s="6" t="s">
        <v>13</v>
      </c>
      <c r="H9" s="6">
        <v>2</v>
      </c>
      <c r="I9" s="6" t="s">
        <v>29</v>
      </c>
      <c r="J9" s="6">
        <v>0.9</v>
      </c>
      <c r="K9" s="6" t="s">
        <v>42</v>
      </c>
      <c r="L9" s="6" t="s">
        <v>96</v>
      </c>
    </row>
    <row r="10" spans="1:12" s="1" customFormat="1" ht="51" customHeight="1" x14ac:dyDescent="0.25">
      <c r="A10" s="6" t="s">
        <v>16</v>
      </c>
      <c r="B10" s="6" t="s">
        <v>94</v>
      </c>
      <c r="C10" s="6" t="s">
        <v>50</v>
      </c>
      <c r="D10" s="6" t="s">
        <v>40</v>
      </c>
      <c r="E10" s="6" t="str">
        <f>VLOOKUP(B10,[1]Complete!$B$2:$C$11,2,0)</f>
        <v>Tampa, FL</v>
      </c>
      <c r="F10" s="6" t="s">
        <v>50</v>
      </c>
      <c r="G10" s="6" t="s">
        <v>13</v>
      </c>
      <c r="H10" s="6">
        <v>3</v>
      </c>
      <c r="I10" s="6" t="s">
        <v>39</v>
      </c>
      <c r="J10" s="6">
        <v>0.8</v>
      </c>
      <c r="K10" s="6" t="s">
        <v>51</v>
      </c>
      <c r="L10" s="6" t="s">
        <v>97</v>
      </c>
    </row>
    <row r="11" spans="1:12" s="1" customFormat="1" ht="51" customHeight="1" x14ac:dyDescent="0.25">
      <c r="A11" s="6" t="s">
        <v>17</v>
      </c>
      <c r="B11" s="6" t="s">
        <v>90</v>
      </c>
      <c r="C11" s="6" t="s">
        <v>55</v>
      </c>
      <c r="D11" s="6" t="s">
        <v>40</v>
      </c>
      <c r="E11" s="6" t="str">
        <f>VLOOKUP(B11,[1]Complete!$B$2:$C$11,2,0)</f>
        <v>Wayne, PA</v>
      </c>
      <c r="F11" s="6" t="s">
        <v>55</v>
      </c>
      <c r="G11" s="6" t="s">
        <v>13</v>
      </c>
      <c r="H11" s="6">
        <v>1</v>
      </c>
      <c r="I11" s="6" t="s">
        <v>29</v>
      </c>
      <c r="J11" s="6">
        <v>0.9</v>
      </c>
      <c r="K11" s="6" t="s">
        <v>42</v>
      </c>
      <c r="L11" s="6" t="s">
        <v>91</v>
      </c>
    </row>
    <row r="12" spans="1:12" s="1" customFormat="1" ht="51" customHeight="1" x14ac:dyDescent="0.25">
      <c r="A12" s="6" t="s">
        <v>17</v>
      </c>
      <c r="B12" s="6" t="s">
        <v>90</v>
      </c>
      <c r="C12" s="6" t="s">
        <v>55</v>
      </c>
      <c r="D12" s="6" t="s">
        <v>40</v>
      </c>
      <c r="E12" s="6" t="str">
        <f>VLOOKUP(B12,[1]Complete!$B$2:$C$11,2,0)</f>
        <v>Wayne, PA</v>
      </c>
      <c r="F12" s="6" t="s">
        <v>55</v>
      </c>
      <c r="G12" s="6" t="s">
        <v>13</v>
      </c>
      <c r="H12" s="6">
        <v>2</v>
      </c>
      <c r="I12" s="6" t="s">
        <v>31</v>
      </c>
      <c r="J12" s="6">
        <v>0.85</v>
      </c>
      <c r="K12" s="6" t="s">
        <v>44</v>
      </c>
      <c r="L12" s="6" t="s">
        <v>92</v>
      </c>
    </row>
    <row r="13" spans="1:12" s="1" customFormat="1" ht="51" customHeight="1" x14ac:dyDescent="0.25">
      <c r="A13" s="6" t="s">
        <v>17</v>
      </c>
      <c r="B13" s="6" t="s">
        <v>90</v>
      </c>
      <c r="C13" s="6" t="s">
        <v>55</v>
      </c>
      <c r="D13" s="6" t="s">
        <v>40</v>
      </c>
      <c r="E13" s="6" t="str">
        <f>VLOOKUP(B13,[1]Complete!$B$2:$C$11,2,0)</f>
        <v>Wayne, PA</v>
      </c>
      <c r="F13" s="6" t="s">
        <v>55</v>
      </c>
      <c r="G13" s="6" t="s">
        <v>13</v>
      </c>
      <c r="H13" s="6">
        <v>3</v>
      </c>
      <c r="I13" s="6" t="s">
        <v>39</v>
      </c>
      <c r="J13" s="6">
        <v>0.8</v>
      </c>
      <c r="K13" s="6" t="s">
        <v>54</v>
      </c>
      <c r="L13" s="6" t="s">
        <v>93</v>
      </c>
    </row>
    <row r="14" spans="1:12" s="1" customFormat="1" ht="51" customHeight="1" x14ac:dyDescent="0.25">
      <c r="A14" s="6" t="s">
        <v>18</v>
      </c>
      <c r="B14" s="6" t="s">
        <v>60</v>
      </c>
      <c r="C14" s="6" t="s">
        <v>21</v>
      </c>
      <c r="D14" s="6" t="s">
        <v>45</v>
      </c>
      <c r="E14" s="6" t="str">
        <f>VLOOKUP(B14,[1]Complete!$B$2:$C$11,2,0)</f>
        <v>Pasadena, TX</v>
      </c>
      <c r="F14" s="6" t="s">
        <v>21</v>
      </c>
      <c r="G14" s="6" t="s">
        <v>15</v>
      </c>
      <c r="H14" s="6">
        <v>1</v>
      </c>
      <c r="I14" s="6" t="s">
        <v>62</v>
      </c>
      <c r="J14" s="6">
        <v>0.9</v>
      </c>
      <c r="K14" s="6" t="s">
        <v>61</v>
      </c>
      <c r="L14" s="6" t="s">
        <v>63</v>
      </c>
    </row>
    <row r="15" spans="1:12" s="1" customFormat="1" ht="51" customHeight="1" x14ac:dyDescent="0.25">
      <c r="A15" s="6" t="s">
        <v>18</v>
      </c>
      <c r="B15" s="6" t="s">
        <v>60</v>
      </c>
      <c r="C15" s="6" t="s">
        <v>21</v>
      </c>
      <c r="D15" s="6" t="s">
        <v>45</v>
      </c>
      <c r="E15" s="6" t="str">
        <f>VLOOKUP(B15,[1]Complete!$B$2:$C$11,2,0)</f>
        <v>Pasadena, TX</v>
      </c>
      <c r="F15" s="6" t="s">
        <v>21</v>
      </c>
      <c r="G15" s="6" t="s">
        <v>15</v>
      </c>
      <c r="H15" s="6">
        <v>2</v>
      </c>
      <c r="I15" s="6" t="s">
        <v>64</v>
      </c>
      <c r="J15" s="6">
        <v>0.85</v>
      </c>
      <c r="K15" s="6" t="s">
        <v>44</v>
      </c>
      <c r="L15" s="6" t="s">
        <v>65</v>
      </c>
    </row>
    <row r="16" spans="1:12" s="1" customFormat="1" ht="51" customHeight="1" x14ac:dyDescent="0.25">
      <c r="A16" s="6" t="s">
        <v>18</v>
      </c>
      <c r="B16" s="6" t="s">
        <v>60</v>
      </c>
      <c r="C16" s="6" t="s">
        <v>21</v>
      </c>
      <c r="D16" s="6" t="s">
        <v>45</v>
      </c>
      <c r="E16" s="6" t="str">
        <f>VLOOKUP(B16,[1]Complete!$B$2:$C$11,2,0)</f>
        <v>Pasadena, TX</v>
      </c>
      <c r="F16" s="6" t="s">
        <v>21</v>
      </c>
      <c r="G16" s="6" t="s">
        <v>15</v>
      </c>
      <c r="H16" s="6">
        <v>3</v>
      </c>
      <c r="I16" s="6" t="s">
        <v>66</v>
      </c>
      <c r="J16" s="6">
        <v>0.8</v>
      </c>
      <c r="K16" s="6" t="s">
        <v>47</v>
      </c>
      <c r="L16" s="6" t="s">
        <v>67</v>
      </c>
    </row>
    <row r="17" spans="1:12" s="1" customFormat="1" ht="51" customHeight="1" x14ac:dyDescent="0.25">
      <c r="A17" s="6" t="s">
        <v>20</v>
      </c>
      <c r="B17" s="6" t="s">
        <v>78</v>
      </c>
      <c r="C17" s="6" t="s">
        <v>21</v>
      </c>
      <c r="D17" s="6" t="s">
        <v>40</v>
      </c>
      <c r="E17" s="6" t="str">
        <f>VLOOKUP(B17,[1]Complete!$B$2:$C$11,2,0)</f>
        <v>Brooklyn, NY</v>
      </c>
      <c r="F17" s="6" t="s">
        <v>21</v>
      </c>
      <c r="G17" s="6" t="s">
        <v>15</v>
      </c>
      <c r="H17" s="6">
        <v>1</v>
      </c>
      <c r="I17" s="6" t="s">
        <v>32</v>
      </c>
      <c r="J17" s="6">
        <v>0.85</v>
      </c>
      <c r="K17" s="6" t="s">
        <v>42</v>
      </c>
      <c r="L17" s="6" t="s">
        <v>79</v>
      </c>
    </row>
    <row r="18" spans="1:12" s="1" customFormat="1" ht="51" customHeight="1" x14ac:dyDescent="0.25">
      <c r="A18" s="6" t="s">
        <v>20</v>
      </c>
      <c r="B18" s="6" t="s">
        <v>78</v>
      </c>
      <c r="C18" s="6" t="s">
        <v>21</v>
      </c>
      <c r="D18" s="6" t="s">
        <v>40</v>
      </c>
      <c r="E18" s="6" t="str">
        <f>VLOOKUP(B18,[1]Complete!$B$2:$C$11,2,0)</f>
        <v>Brooklyn, NY</v>
      </c>
      <c r="F18" s="6" t="s">
        <v>21</v>
      </c>
      <c r="G18" s="6" t="s">
        <v>15</v>
      </c>
      <c r="H18" s="6">
        <v>2</v>
      </c>
      <c r="I18" s="6" t="s">
        <v>77</v>
      </c>
      <c r="J18" s="6">
        <v>0.8</v>
      </c>
      <c r="K18" s="6" t="s">
        <v>42</v>
      </c>
      <c r="L18" s="6" t="s">
        <v>80</v>
      </c>
    </row>
    <row r="19" spans="1:12" s="1" customFormat="1" ht="51" customHeight="1" x14ac:dyDescent="0.25">
      <c r="A19" s="6" t="s">
        <v>20</v>
      </c>
      <c r="B19" s="6" t="s">
        <v>78</v>
      </c>
      <c r="C19" s="6" t="s">
        <v>21</v>
      </c>
      <c r="D19" s="6" t="s">
        <v>40</v>
      </c>
      <c r="E19" s="6" t="str">
        <f>VLOOKUP(B19,[1]Complete!$B$2:$C$11,2,0)</f>
        <v>Brooklyn, NY</v>
      </c>
      <c r="F19" s="6" t="s">
        <v>21</v>
      </c>
      <c r="G19" s="6" t="s">
        <v>15</v>
      </c>
      <c r="H19" s="6">
        <v>3</v>
      </c>
      <c r="I19" s="6" t="s">
        <v>36</v>
      </c>
      <c r="J19" s="6">
        <v>0.8</v>
      </c>
      <c r="K19" s="6" t="s">
        <v>43</v>
      </c>
      <c r="L19" s="6" t="s">
        <v>81</v>
      </c>
    </row>
    <row r="20" spans="1:12" s="1" customFormat="1" ht="51" customHeight="1" x14ac:dyDescent="0.25">
      <c r="A20" s="6" t="s">
        <v>22</v>
      </c>
      <c r="B20" s="6" t="s">
        <v>68</v>
      </c>
      <c r="C20" s="6" t="s">
        <v>48</v>
      </c>
      <c r="D20" s="6" t="s">
        <v>45</v>
      </c>
      <c r="E20" s="6" t="str">
        <f>VLOOKUP(B20,[1]Complete!$B$2:$C$11,2,0)</f>
        <v>New York, NY</v>
      </c>
      <c r="F20" s="6" t="s">
        <v>48</v>
      </c>
      <c r="G20" s="6" t="s">
        <v>15</v>
      </c>
      <c r="H20" s="6">
        <v>1</v>
      </c>
      <c r="I20" s="6" t="s">
        <v>34</v>
      </c>
      <c r="J20" s="6">
        <v>0.95</v>
      </c>
      <c r="K20" s="6" t="s">
        <v>46</v>
      </c>
      <c r="L20" s="6" t="s">
        <v>69</v>
      </c>
    </row>
    <row r="21" spans="1:12" s="1" customFormat="1" ht="51" customHeight="1" x14ac:dyDescent="0.25">
      <c r="A21" s="6" t="s">
        <v>22</v>
      </c>
      <c r="B21" s="6" t="s">
        <v>68</v>
      </c>
      <c r="C21" s="6" t="s">
        <v>48</v>
      </c>
      <c r="D21" s="6" t="s">
        <v>45</v>
      </c>
      <c r="E21" s="6" t="str">
        <f>VLOOKUP(B21,[1]Complete!$B$2:$C$11,2,0)</f>
        <v>New York, NY</v>
      </c>
      <c r="F21" s="6" t="s">
        <v>48</v>
      </c>
      <c r="G21" s="6" t="s">
        <v>15</v>
      </c>
      <c r="H21" s="6">
        <v>2</v>
      </c>
      <c r="I21" s="6" t="s">
        <v>32</v>
      </c>
      <c r="J21" s="6">
        <v>0.9</v>
      </c>
      <c r="K21" s="6" t="s">
        <v>42</v>
      </c>
      <c r="L21" s="6" t="s">
        <v>70</v>
      </c>
    </row>
    <row r="22" spans="1:12" s="1" customFormat="1" ht="51" customHeight="1" x14ac:dyDescent="0.25">
      <c r="A22" s="6" t="s">
        <v>22</v>
      </c>
      <c r="B22" s="6" t="s">
        <v>68</v>
      </c>
      <c r="C22" s="6" t="s">
        <v>48</v>
      </c>
      <c r="D22" s="6" t="s">
        <v>45</v>
      </c>
      <c r="E22" s="6" t="str">
        <f>VLOOKUP(B22,[1]Complete!$B$2:$C$11,2,0)</f>
        <v>New York, NY</v>
      </c>
      <c r="F22" s="6" t="s">
        <v>48</v>
      </c>
      <c r="G22" s="6" t="s">
        <v>15</v>
      </c>
      <c r="H22" s="6">
        <v>3</v>
      </c>
      <c r="I22" s="6" t="s">
        <v>31</v>
      </c>
      <c r="J22" s="6">
        <v>0.75</v>
      </c>
      <c r="K22" s="6" t="s">
        <v>44</v>
      </c>
      <c r="L22" s="6" t="s">
        <v>71</v>
      </c>
    </row>
    <row r="23" spans="1:12" s="1" customFormat="1" ht="51" customHeight="1" x14ac:dyDescent="0.25">
      <c r="A23" s="6" t="s">
        <v>23</v>
      </c>
      <c r="B23" s="6" t="s">
        <v>72</v>
      </c>
      <c r="C23" s="6" t="s">
        <v>55</v>
      </c>
      <c r="D23" s="6" t="s">
        <v>52</v>
      </c>
      <c r="E23" s="6" t="str">
        <f>VLOOKUP(B23,[1]Complete!$B$2:$C$11,2,0)</f>
        <v>Louisville, KY</v>
      </c>
      <c r="F23" s="6" t="s">
        <v>55</v>
      </c>
      <c r="G23" s="6" t="s">
        <v>19</v>
      </c>
      <c r="H23" s="6">
        <v>1</v>
      </c>
      <c r="I23" s="6" t="s">
        <v>33</v>
      </c>
      <c r="J23" s="6">
        <v>0.9</v>
      </c>
      <c r="K23" s="6" t="s">
        <v>42</v>
      </c>
      <c r="L23" s="6" t="s">
        <v>73</v>
      </c>
    </row>
    <row r="24" spans="1:12" s="1" customFormat="1" ht="51" customHeight="1" x14ac:dyDescent="0.25">
      <c r="A24" s="6" t="s">
        <v>23</v>
      </c>
      <c r="B24" s="6" t="s">
        <v>72</v>
      </c>
      <c r="C24" s="6" t="s">
        <v>55</v>
      </c>
      <c r="D24" s="6" t="s">
        <v>52</v>
      </c>
      <c r="E24" s="6" t="str">
        <f>VLOOKUP(B24,[1]Complete!$B$2:$C$11,2,0)</f>
        <v>Louisville, KY</v>
      </c>
      <c r="F24" s="6" t="s">
        <v>55</v>
      </c>
      <c r="G24" s="6" t="s">
        <v>19</v>
      </c>
      <c r="H24" s="6">
        <v>2</v>
      </c>
      <c r="I24" s="6" t="s">
        <v>34</v>
      </c>
      <c r="J24" s="6">
        <v>0.85</v>
      </c>
      <c r="K24" s="6" t="s">
        <v>46</v>
      </c>
      <c r="L24" s="6" t="s">
        <v>74</v>
      </c>
    </row>
    <row r="25" spans="1:12" s="1" customFormat="1" ht="51" customHeight="1" x14ac:dyDescent="0.25">
      <c r="A25" s="6" t="s">
        <v>23</v>
      </c>
      <c r="B25" s="6" t="s">
        <v>72</v>
      </c>
      <c r="C25" s="6" t="s">
        <v>55</v>
      </c>
      <c r="D25" s="6" t="s">
        <v>52</v>
      </c>
      <c r="E25" s="6" t="str">
        <f>VLOOKUP(B25,[1]Complete!$B$2:$C$11,2,0)</f>
        <v>Louisville, KY</v>
      </c>
      <c r="F25" s="6" t="s">
        <v>55</v>
      </c>
      <c r="G25" s="6" t="s">
        <v>19</v>
      </c>
      <c r="H25" s="6">
        <v>3</v>
      </c>
      <c r="I25" s="6" t="s">
        <v>31</v>
      </c>
      <c r="J25" s="6">
        <v>0.8</v>
      </c>
      <c r="K25" s="6" t="s">
        <v>44</v>
      </c>
      <c r="L25" s="6" t="s">
        <v>75</v>
      </c>
    </row>
    <row r="26" spans="1:12" s="1" customFormat="1" ht="51" customHeight="1" x14ac:dyDescent="0.25">
      <c r="A26" s="6" t="s">
        <v>28</v>
      </c>
      <c r="B26" s="6" t="s">
        <v>82</v>
      </c>
      <c r="C26" s="6" t="s">
        <v>12</v>
      </c>
      <c r="D26" s="6" t="s">
        <v>49</v>
      </c>
      <c r="E26" s="6" t="str">
        <f>VLOOKUP(B26,[1]Complete!$B$2:$C$11,2,0)</f>
        <v>Austin, TX</v>
      </c>
      <c r="F26" s="6" t="s">
        <v>12</v>
      </c>
      <c r="G26" s="6" t="s">
        <v>19</v>
      </c>
      <c r="H26" s="6">
        <v>1</v>
      </c>
      <c r="I26" s="6" t="s">
        <v>32</v>
      </c>
      <c r="J26" s="6">
        <v>0.85</v>
      </c>
      <c r="K26" s="6" t="s">
        <v>42</v>
      </c>
      <c r="L26" s="6" t="s">
        <v>83</v>
      </c>
    </row>
    <row r="27" spans="1:12" s="1" customFormat="1" ht="51" customHeight="1" x14ac:dyDescent="0.25">
      <c r="A27" s="6" t="s">
        <v>28</v>
      </c>
      <c r="B27" s="6" t="s">
        <v>82</v>
      </c>
      <c r="C27" s="6" t="s">
        <v>12</v>
      </c>
      <c r="D27" s="6" t="s">
        <v>49</v>
      </c>
      <c r="E27" s="6" t="str">
        <f>VLOOKUP(B27,[1]Complete!$B$2:$C$11,2,0)</f>
        <v>Austin, TX</v>
      </c>
      <c r="F27" s="6" t="s">
        <v>12</v>
      </c>
      <c r="G27" s="6" t="s">
        <v>19</v>
      </c>
      <c r="H27" s="6">
        <v>2</v>
      </c>
      <c r="I27" s="6" t="s">
        <v>76</v>
      </c>
      <c r="J27" s="6">
        <v>0.8</v>
      </c>
      <c r="K27" s="6" t="s">
        <v>43</v>
      </c>
      <c r="L27" s="6" t="s">
        <v>84</v>
      </c>
    </row>
    <row r="28" spans="1:12" s="1" customFormat="1" ht="51" customHeight="1" x14ac:dyDescent="0.25">
      <c r="A28" s="6" t="s">
        <v>28</v>
      </c>
      <c r="B28" s="6" t="s">
        <v>82</v>
      </c>
      <c r="C28" s="6" t="s">
        <v>12</v>
      </c>
      <c r="D28" s="6" t="s">
        <v>49</v>
      </c>
      <c r="E28" s="6" t="str">
        <f>VLOOKUP(B28,[1]Complete!$B$2:$C$11,2,0)</f>
        <v>Austin, TX</v>
      </c>
      <c r="F28" s="6" t="s">
        <v>12</v>
      </c>
      <c r="G28" s="6" t="s">
        <v>19</v>
      </c>
      <c r="H28" s="6">
        <v>3</v>
      </c>
      <c r="I28" s="6" t="s">
        <v>77</v>
      </c>
      <c r="J28" s="6">
        <v>0.75</v>
      </c>
      <c r="K28" s="6" t="s">
        <v>42</v>
      </c>
      <c r="L28" s="6" t="s">
        <v>85</v>
      </c>
    </row>
    <row r="29" spans="1:12" s="1" customFormat="1" ht="51" customHeight="1" x14ac:dyDescent="0.25">
      <c r="A29" s="6" t="s">
        <v>24</v>
      </c>
      <c r="B29" s="6" t="s">
        <v>98</v>
      </c>
      <c r="C29" s="6" t="s">
        <v>21</v>
      </c>
      <c r="D29" s="6" t="s">
        <v>53</v>
      </c>
      <c r="E29" s="6" t="str">
        <f>VLOOKUP(B29,[1]Complete!$B$2:$C$11,2,0)</f>
        <v>Georgetown, KY</v>
      </c>
      <c r="F29" s="6" t="s">
        <v>21</v>
      </c>
      <c r="G29" s="6" t="s">
        <v>19</v>
      </c>
      <c r="H29" s="6">
        <v>1</v>
      </c>
      <c r="I29" s="6" t="s">
        <v>29</v>
      </c>
      <c r="J29" s="6">
        <v>0.9</v>
      </c>
      <c r="K29" s="6" t="s">
        <v>42</v>
      </c>
      <c r="L29" s="6" t="s">
        <v>99</v>
      </c>
    </row>
    <row r="30" spans="1:12" s="1" customFormat="1" ht="51" customHeight="1" x14ac:dyDescent="0.25">
      <c r="A30" s="6" t="s">
        <v>24</v>
      </c>
      <c r="B30" s="6" t="s">
        <v>98</v>
      </c>
      <c r="C30" s="6" t="s">
        <v>21</v>
      </c>
      <c r="D30" s="6" t="s">
        <v>53</v>
      </c>
      <c r="E30" s="6" t="str">
        <f>VLOOKUP(B30,[1]Complete!$B$2:$C$11,2,0)</f>
        <v>Georgetown, KY</v>
      </c>
      <c r="F30" s="6" t="s">
        <v>21</v>
      </c>
      <c r="G30" s="6" t="s">
        <v>19</v>
      </c>
      <c r="H30" s="6">
        <v>2</v>
      </c>
      <c r="I30" s="6" t="s">
        <v>35</v>
      </c>
      <c r="J30" s="6">
        <v>0.85</v>
      </c>
      <c r="K30" s="6" t="s">
        <v>43</v>
      </c>
      <c r="L30" s="6" t="s">
        <v>100</v>
      </c>
    </row>
    <row r="31" spans="1:12" s="1" customFormat="1" ht="51" customHeight="1" x14ac:dyDescent="0.25">
      <c r="A31" s="6" t="s">
        <v>24</v>
      </c>
      <c r="B31" s="6" t="s">
        <v>98</v>
      </c>
      <c r="C31" s="6" t="s">
        <v>21</v>
      </c>
      <c r="D31" s="6" t="s">
        <v>53</v>
      </c>
      <c r="E31" s="6" t="str">
        <f>VLOOKUP(B31,[1]Complete!$B$2:$C$11,2,0)</f>
        <v>Georgetown, KY</v>
      </c>
      <c r="F31" s="6" t="s">
        <v>21</v>
      </c>
      <c r="G31" s="6" t="s">
        <v>19</v>
      </c>
      <c r="H31" s="6">
        <v>3</v>
      </c>
      <c r="I31" s="6" t="s">
        <v>31</v>
      </c>
      <c r="J31" s="6">
        <v>0.75</v>
      </c>
      <c r="K31" s="6" t="s">
        <v>44</v>
      </c>
      <c r="L31" s="6" t="s">
        <v>101</v>
      </c>
    </row>
  </sheetData>
  <autoFilter ref="A1:L1" xr:uid="{D1E04642-F6B9-4835-AAFB-3AF99E3168B0}"/>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Recommendations</vt:lpstr>
      <vt:lpstr>nba_recommendations_20260212_18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Kaur, Sumandeep</cp:lastModifiedBy>
  <dcterms:created xsi:type="dcterms:W3CDTF">2026-02-03T12:01:28Z</dcterms:created>
  <dcterms:modified xsi:type="dcterms:W3CDTF">2026-02-20T13:47:35Z</dcterms:modified>
</cp:coreProperties>
</file>